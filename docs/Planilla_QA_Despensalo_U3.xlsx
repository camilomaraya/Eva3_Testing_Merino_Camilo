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meri\Downloads\"/>
    </mc:Choice>
  </mc:AlternateContent>
  <xr:revisionPtr revIDLastSave="0" documentId="13_ncr:1_{4924059F-4F1D-4AF3-A018-39A0FFAA8806}" xr6:coauthVersionLast="47" xr6:coauthVersionMax="47" xr10:uidLastSave="{00000000-0000-0000-0000-000000000000}"/>
  <bookViews>
    <workbookView xWindow="-108" yWindow="-108" windowWidth="23256" windowHeight="12456" tabRatio="500" activeTab="4" xr2:uid="{00000000-000D-0000-FFFF-FFFF00000000}"/>
  </bookViews>
  <sheets>
    <sheet name="Casos de Prueba" sheetId="1" r:id="rId1"/>
    <sheet name="Bug Reports" sheetId="2" r:id="rId2"/>
    <sheet name="Exploratorio" sheetId="3" r:id="rId3"/>
    <sheet name="Ejecuciones Auto" sheetId="4" r:id="rId4"/>
    <sheet name="Metrica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10" i="2" l="1"/>
  <c r="L9" i="2"/>
  <c r="L8" i="2"/>
  <c r="L7" i="2"/>
  <c r="L6" i="2"/>
  <c r="L5" i="2"/>
  <c r="L4" i="2"/>
  <c r="B27" i="5"/>
  <c r="B26" i="5"/>
  <c r="B24" i="5"/>
  <c r="B25" i="5" s="1"/>
  <c r="B23" i="5"/>
  <c r="B20" i="5"/>
  <c r="B19" i="5"/>
  <c r="B15" i="5"/>
  <c r="B14" i="5"/>
  <c r="B16" i="5" s="1"/>
  <c r="B11" i="5"/>
  <c r="B10" i="5"/>
  <c r="B8" i="5"/>
  <c r="B7" i="5"/>
  <c r="B9" i="5" s="1"/>
  <c r="B6" i="5"/>
  <c r="B5" i="5"/>
</calcChain>
</file>

<file path=xl/sharedStrings.xml><?xml version="1.0" encoding="utf-8"?>
<sst xmlns="http://schemas.openxmlformats.org/spreadsheetml/2006/main" count="531" uniqueCount="304">
  <si>
    <t xml:space="preserve">Casos de prueba manuales </t>
  </si>
  <si>
    <t>ID</t>
  </si>
  <si>
    <t>Funcionalidad</t>
  </si>
  <si>
    <t>Tipo</t>
  </si>
  <si>
    <t>Requiere sesion</t>
  </si>
  <si>
    <t>Objetivo</t>
  </si>
  <si>
    <t>Precondiciones</t>
  </si>
  <si>
    <t>Datos de prueba</t>
  </si>
  <si>
    <t>Pasos</t>
  </si>
  <si>
    <t>Resultado esperado</t>
  </si>
  <si>
    <t>Resultado obtenido</t>
  </si>
  <si>
    <t>Estado</t>
  </si>
  <si>
    <t>Evidencia (archivo)</t>
  </si>
  <si>
    <t>CP-01</t>
  </si>
  <si>
    <t>Crear cuenta</t>
  </si>
  <si>
    <t>Positivo</t>
  </si>
  <si>
    <t>No</t>
  </si>
  <si>
    <t>Verificar que se puede crear una cuenta nueva con datos validos</t>
  </si>
  <si>
    <t>No tener cuenta con ese correo</t>
  </si>
  <si>
    <t>Correo nuevo + contrasena + repetir contrasena</t>
  </si>
  <si>
    <t>1. Abrir despensalo.cl
2. Click en la pestana Crear cuenta
3. Completar correo, contrasena y repetir contrasena
4. Click en Crear mi cuenta</t>
  </si>
  <si>
    <t>Crea la cuenta y da acceso a la aplicacion</t>
  </si>
  <si>
    <t>Crea la cuenta e ingresa directo al Resumen. No solicita reingresar credenciales ni envia correo de confirmacion.</t>
  </si>
  <si>
    <t>Aprobado</t>
  </si>
  <si>
    <t>CP-01_cuenta_creada.png</t>
  </si>
  <si>
    <t>CP-02</t>
  </si>
  <si>
    <t>Negativo</t>
  </si>
  <si>
    <t>Verificar que rechaza crear una cuenta con un correo ya registrado</t>
  </si>
  <si>
    <t>Tener una cuenta ya creada</t>
  </si>
  <si>
    <t>El mismo correo usado en CP-01</t>
  </si>
  <si>
    <t>1. Pestana Crear cuenta
2. Escribir un correo ya registrado
3. Completar contrasenas
4. Click en Crear mi cuenta</t>
  </si>
  <si>
    <t>Muestra un mensaje de error claro en espanol y no crea la cuenta duplicada</t>
  </si>
  <si>
    <t>Bloquea correctamente la creacion duplicada, pero el mensaje se muestra en ingles: User already registered. Ver BUG-01.</t>
  </si>
  <si>
    <t>Fallido</t>
  </si>
  <si>
    <t>CP-02_correo_duplicado.png</t>
  </si>
  <si>
    <t>CP-03</t>
  </si>
  <si>
    <t>Ingresar</t>
  </si>
  <si>
    <t>Verificar el ingreso con correo y contrasena correctos</t>
  </si>
  <si>
    <t>Cuenta activa</t>
  </si>
  <si>
    <t>Correo y contrasena validos</t>
  </si>
  <si>
    <t>1. Pestana Ingresar
2. Escribir correo y contrasena
3. Click en Ingresar a Despensalo</t>
  </si>
  <si>
    <t>Entra a la aplicacion y aterriza en el Resumen, igual que al crear cuenta</t>
  </si>
  <si>
    <t>Con sesion limpia (ventana de incognito, cuenta distinta) el ingreso aterriza correctamente en el Resumen. Sin embargo, si la sesion anterior se cerro desde Ajustes, el siguiente ingreso aterriza en Ajustes. Dado que Ajustes es la unica pantalla desde donde se puede cerrar sesion, todo ingreso posterior al primero cae en Ajustes. Ver BUG-03.</t>
  </si>
  <si>
    <t>CP-03_ingreso_limpio.png, CP-03_aterriza_ajustes.png</t>
  </si>
  <si>
    <t>CP-04</t>
  </si>
  <si>
    <t>Verificar que rechaza una contrasena incorrecta</t>
  </si>
  <si>
    <t>Correo valido + contrasena erronea</t>
  </si>
  <si>
    <t>1. Pestana Ingresar
2. Escribir correo valido y contrasena erronea
3. Click en Ingresar a Despensalo</t>
  </si>
  <si>
    <t>No permite el ingreso y muestra un mensaje de error en espanol</t>
  </si>
  <si>
    <t>No permite el ingreso, pero el mensaje se muestra en ingles: Invalid login credentials. Ver BUG-01.</t>
  </si>
  <si>
    <t>CP-04_credenciales_invalidas.png</t>
  </si>
  <si>
    <t>CP-05</t>
  </si>
  <si>
    <t>Inventario</t>
  </si>
  <si>
    <t>Si</t>
  </si>
  <si>
    <t>Verificar que se puede registrar un producto manualmente sin escanear</t>
  </si>
  <si>
    <t>Sesion iniciada</t>
  </si>
  <si>
    <t>Nombre: Arroz / Marca: Tucapel / Formato: 1 kg / Stock: 1 / Vence: 30-09-2028</t>
  </si>
  <si>
    <t>1. Click en Agregar producto sin codigo
2. Completar nombre, marca, formato, stock y fecha
3. Click en Guardar producto
4. Ir a Inventario y recargar la pagina</t>
  </si>
  <si>
    <t>El producto queda registrado con sus datos y persiste al recargar</t>
  </si>
  <si>
    <t>El producto se guarda correctamente y persiste. Observacion: el campo Codigo de barras se autogenera (manual:mtqbv8d2-uimbm8) y no es editable, por lo que no existe registro realmente sin codigo.</t>
  </si>
  <si>
    <t>CP-05_form_registro.png, CP-05_producto_guardado.png, CP-05_resumen_actualizado.png</t>
  </si>
  <si>
    <t>CP-06</t>
  </si>
  <si>
    <t>Borde</t>
  </si>
  <si>
    <t>Verificar el manejo de fechas de vencimiento invalidas o en el pasado</t>
  </si>
  <si>
    <t>Fecha 01-01-2020, luego 31-02-2027, luego campo vacio</t>
  </si>
  <si>
    <t>1. Registrar producto con fecha 01-01-2020 y guardar
2. Registrar otro con fecha 31-02-2027 y guardar
3. Registrar otro dejando la fecha vacia
4. Revisar Inventario</t>
  </si>
  <si>
    <t>Acepta la fecha pasada y la marca como vencida, rechaza la fecha inexistente con un mensaje de error, y permite el campo vacio por ser opcional</t>
  </si>
  <si>
    <t>Fecha 01-01-2020: correcto, marca Vencido hace 2440 dias. Fecha 31-02-2027: la acepta sin error y guarda el producto SIN fecha, sin ningun aviso. Campo vacio: permitido, correcto. Ver BUG-02.</t>
  </si>
  <si>
    <t>CP-06_fecha_vencida.png, CP-06_fechas_invalidas.png</t>
  </si>
  <si>
    <t>CP-07</t>
  </si>
  <si>
    <t>Escaneo</t>
  </si>
  <si>
    <t>Verificar el comportamiento al procesar un codigo de barras inexistente</t>
  </si>
  <si>
    <t>Codigo: 0000000000000 y luego texto: abcdef</t>
  </si>
  <si>
    <t>1. Escribir el codigo en Codigo manual o lector externo
2. Click en Procesar
3. Repetir usando texto en vez de numeros</t>
  </si>
  <si>
    <t>Avisa que no encuentra el producto y ofrece registrarlo, sin errores de servidor</t>
  </si>
  <si>
    <t>Con ambos valores muestra el aviso No encontramos este codigo. Escribe el nombre una sola vez y quedara guardado, y abre el formulario Registrar producto con el codigo precargado.</t>
  </si>
  <si>
    <t>CP-07_codigo_numerico.png, CP-07_codigo_texto.png</t>
  </si>
  <si>
    <t>CP-08</t>
  </si>
  <si>
    <t>Verificar la validacion del campo Unidades por lectura</t>
  </si>
  <si>
    <t>Sesion iniciada y producto existente en inventario</t>
  </si>
  <si>
    <t>Valores: 0, luego -1, luego 2,5, luego 9999</t>
  </si>
  <si>
    <t>1. Cambiar Unidades por lectura a 0
2. Procesar el codigo de un producto existente
3. Repetir con -1, con 2,5 y con 9999
4. Revisar el stock resultante en Inventario</t>
  </si>
  <si>
    <t>Rechaza los valores invalidos con mensaje claro y el stock nunca queda fraccionario</t>
  </si>
  <si>
    <t>Con 0 y con -1 suma 1 unidad sin mostrar aviso alguno: descarta el valor y usa 1 por defecto. Con 2,5 suma 2,5 unidades y deja el stock fraccionario (Arroz quedo en 6,5 un.). Ver BUG-04 y BUG-05.</t>
  </si>
  <si>
    <t>CP-08_stock_fraccionario.png</t>
  </si>
  <si>
    <t>CP-09</t>
  </si>
  <si>
    <t>Verificar que el stock no queda negativo al usar o agotar productos</t>
  </si>
  <si>
    <t>Sesion iniciada y producto con stock 0</t>
  </si>
  <si>
    <t>Modo Usar o agotar + valores -1 y 9999</t>
  </si>
  <si>
    <t>1. Agotar el producto Aceite desde Inventario
2. Activar el modo Usar o agotar
3. Procesar el codigo del Aceite con 9999 unidades por lectura
4. Repetir con -1
5. Revisar el stock</t>
  </si>
  <si>
    <t>Avisa que no hay stock disponible y el contador no baja de 0</t>
  </si>
  <si>
    <t>El stock no baja de 0 con ninguno de los dos valores. La proteccion contra stock negativo funciona correctamente al restar.</t>
  </si>
  <si>
    <t>CP-09_stock_no_negativo_1.png, CP-09_stock_no_negativo_2.png</t>
  </si>
  <si>
    <t>CP-10</t>
  </si>
  <si>
    <t>Resumen / Gastos</t>
  </si>
  <si>
    <t>Verificar que los contadores del Resumen coinciden con el inventario real</t>
  </si>
  <si>
    <t>Sesion iniciada con productos cargados</t>
  </si>
  <si>
    <t>Inventario: Aceite 0 un. ($2.000), Arroz 6,5 un. ($1.240), Cuadernos 1 pack, Galletas 1 paquete</t>
  </si>
  <si>
    <t>1. Anotar el contenido real de Inventario
2. Ir a Inicio
3. Comparar cada tarjeta contra lo calculado
4. Registrar cualquier diferencia</t>
  </si>
  <si>
    <t>PRODUCTOS 4 / UNIDADES 8,5 / STOCK BAJO 2 / AGOTADOS 1 / POR VENCER 0 / VENCIDOS 1 / VALOR DESPENSA $8.060</t>
  </si>
  <si>
    <t>Los siete contadores coinciden con el inventario real: PRODUCTOS 4, UNIDADES 8,5, STOCK BAJO 2, AGOTADOS 1, POR VENCER 0, VENCIDOS 1, VALOR DESPENSA $8.060. El calculo de valor es correcto (6,5 x $1.240 = $8.060). Observacion: UNIDADES muestra 8,5 porque arrastra el stock fraccionario generado en CP-08, evidenciando que el defecto se propaga al Resumen.</t>
  </si>
  <si>
    <t>CP-10_resumen_contadores.png</t>
  </si>
  <si>
    <t>Reporte de defectos</t>
  </si>
  <si>
    <t>Titulo</t>
  </si>
  <si>
    <t>Caso relacionado</t>
  </si>
  <si>
    <t>Funcionalidad afectada</t>
  </si>
  <si>
    <t>Pasos de reproduccion</t>
  </si>
  <si>
    <t>Evidencia</t>
  </si>
  <si>
    <t>Severidad</t>
  </si>
  <si>
    <t>Prioridad</t>
  </si>
  <si>
    <t>Ambiente</t>
  </si>
  <si>
    <t>Score</t>
  </si>
  <si>
    <t>Recomendacion de mejora</t>
  </si>
  <si>
    <t>BUG-01</t>
  </si>
  <si>
    <t>Los mensajes de error de autenticacion se muestran en ingles</t>
  </si>
  <si>
    <t>CP-02, CP-04</t>
  </si>
  <si>
    <t>Autenticacion</t>
  </si>
  <si>
    <t>1. Abrir despensalo.cl
2. Pestana Ingresar
3. Escribir un correo valido con contrasena erronea
4. Click en Ingresar a Despensalo
5. Repetir en la pestana Crear cuenta con un correo ya registrado</t>
  </si>
  <si>
    <t>El mensaje de error se muestra en espanol, como el resto de la interfaz</t>
  </si>
  <si>
    <t>Aparecen los textos crudos del proveedor de autenticacion: Invalid login credentials y User already registered</t>
  </si>
  <si>
    <t>CP-02_correo_duplicado.png, CP-04_credenciales_invalidas.png</t>
  </si>
  <si>
    <t>Media</t>
  </si>
  <si>
    <t>Alta</t>
  </si>
  <si>
    <t>Chrome 152.0.7977.83 (64 bits) / Windows 11 / 1920x1080</t>
  </si>
  <si>
    <t>Mapear los codigos de error del proveedor de autenticacion a mensajes propios en espanol. Revisar que ningun otro mensaje del sistema llegue sin traducir a la interfaz.</t>
  </si>
  <si>
    <t>BUG-02</t>
  </si>
  <si>
    <t>El formulario acepta una fecha de vencimiento inexistente y guarda el producto sin fecha</t>
  </si>
  <si>
    <t>Registro de producto</t>
  </si>
  <si>
    <t>1. Ingresar a Despensalo
2. Click en Agregar producto sin codigo
3. Completar nombre y marca
4. Escribir 31-02-2027 en Fecha de vencimiento
5. Click en Guardar producto
6. Revisar el producto en Inventario</t>
  </si>
  <si>
    <t>El formulario rechaza la fecha inexistente y muestra un mensaje de error antes de guardar</t>
  </si>
  <si>
    <t>Acepta la fecha sin validarla y guarda el producto sin ninguna fecha de vencimiento, sin avisar al usuario que su dato fue descartado</t>
  </si>
  <si>
    <t>CP-06_fechas_invalidas.png</t>
  </si>
  <si>
    <t>Validar la fecha en el formulario antes de enviar y mostrar un error explicito. Si el valor no es valido, no descartarlo en silencio: el producto queda sin alerta de vencimiento y el usuario cree que la registro.</t>
  </si>
  <si>
    <t>BUG-03</t>
  </si>
  <si>
    <t>Tras cerrar sesion desde Ajustes, el siguiente ingreso aterriza en Ajustes en vez del Resumen</t>
  </si>
  <si>
    <t>Autenticacion / Navegacion</t>
  </si>
  <si>
    <t>1. Ingresar a Despensalo con credenciales validas
2. Navegar a la pantalla Ajustes
3. Cerrar sesion desde Ajustes (unica pantalla que permite cerrar sesion)
4. Volver a ingresar con las mismas credenciales
5. Observar la pantalla de destino</t>
  </si>
  <si>
    <t>El ingreso aterriza siempre en el Resumen, sin importar cual fue la ultima pantalla usada antes de cerrar sesion</t>
  </si>
  <si>
    <t>Aterriza en Ajustes. En sesion limpia (incognito, cuenta distinta) el ingreso si llega al Resumen, lo que confirma que la aplicacion restaura la ultima ruta visitada. Como Ajustes es la unica pantalla desde donde se cierra sesion, el defecto afecta a todo usuario que vuelva a entrar</t>
  </si>
  <si>
    <t>Limpiar la ruta persistida al cerrar sesion y forzar el destino al Resumen tras cualquier ingreso exitoso. Considerar ademas ofrecer el cierre de sesion desde el menu lateral, no solo desde Ajustes.</t>
  </si>
  <si>
    <t>BUG-04</t>
  </si>
  <si>
    <t>Unidades por lectura acepta decimales y genera stock fraccionario</t>
  </si>
  <si>
    <t>Escaneo / Inventario</t>
  </si>
  <si>
    <t>1. Ingresar a Despensalo
2. En Modo de escaneo dejar activo Ingresar compra
3. Escribir 2,5 en Unidades por lectura
4. Escribir el codigo de un producto existente y click en Procesar
5. Revisar el producto en Inventario</t>
  </si>
  <si>
    <t>El campo rechaza los decimales cuando la unidad del producto es un., o redondea a un entero avisando al usuario</t>
  </si>
  <si>
    <t>Suma 2,5 unidades y el producto queda con stock fraccionario. El Arroz, cuya unidad es un., quedo con 6,5 unidades</t>
  </si>
  <si>
    <t>Restringir el campo a enteros cuando la unidad del producto no admite fracciones (step=1 y validacion en servidor). El stock fraccionario contamina ademas el calculo de valor en stock y el contador de unidades del Resumen.</t>
  </si>
  <si>
    <t>BUG-05</t>
  </si>
  <si>
    <t>Los valores 0 y negativos en Unidades por lectura se reemplazan por 1 sin avisar</t>
  </si>
  <si>
    <t>1. Ingresar a Despensalo
2. Escribir 0 en Unidades por lectura
3. Escribir el codigo de un producto existente y click en Procesar
4. Revisar el stock en Inventario
5. Repetir con -1</t>
  </si>
  <si>
    <t>El campo rechaza el valor con un mensaje claro y no registra ninguna lectura</t>
  </si>
  <si>
    <t>Descarta el valor ingresado y suma 1 unidad sin mostrar ningun aviso. El usuario cree haber procesado 0 unidades y en realidad agrego una</t>
  </si>
  <si>
    <t>Validar el minimo en el campo (min=1) y mostrar un mensaje cuando el valor sea invalido, en lugar de sustituirlo en silencio.</t>
  </si>
  <si>
    <t>BUG-06</t>
  </si>
  <si>
    <t>El boton de deshacer ejecuta la accion sin confirmacion previa y elimina registros</t>
  </si>
  <si>
    <t>SE-01 esc3</t>
  </si>
  <si>
    <t>Deshacer global / Persistencia de datos</t>
  </si>
  <si>
    <t>1. Ingresar a Despensalo con registros existentes
2. Presionar el boton flotante de deshacer, ubicado abajo a la izquierda del menu lateral
3. Presionarlo una segunda vez
4. Revisar el Botiquin y el Historial</t>
  </si>
  <si>
    <t>El boton informa que accion se va a revertir y solicita confirmacion antes de ejecutarla</t>
  </si>
  <si>
    <t>Ejecuta la accion de inmediato sin previo aviso. Al presionarlo dos veces se eliminaron dos registros del Botiquin de forma accidental. El unico mensaje es Ultima accion deshecha, mostrado despues de ejecutar</t>
  </si>
  <si>
    <t>SE-01_esc3_deshacer.png, SE-01_esc3_historial.png</t>
  </si>
  <si>
    <t>Mostrar la accion concreta que se va a revertir y pedir confirmacion antes de ejecutarla. Alternativamente, ofrecer un deshacer contextual con ventana de tiempo, en vez de un boton global siempre activo que puede accionarse por error.</t>
  </si>
  <si>
    <t>BUG-07</t>
  </si>
  <si>
    <t>El Resumen de Inicio no contabiliza los medicamentos del Botiquin, incluidos los vencidos</t>
  </si>
  <si>
    <t>SE-01 esc4</t>
  </si>
  <si>
    <t>Resumen / Botiquin</t>
  </si>
  <si>
    <t>1. Registrar en Botiquin un medicamento con fecha de vencimiento pasada
2. Ir a Inicio y revisar las tarjetas PRODUCTOS, UNIDADES y VENCIDOS
3. Comparar con el contenido real de Botiquin
4. Revisar la tabla Existencias y valor por categoria en Gastos</t>
  </si>
  <si>
    <t>El Resumen refleja el total de la aplicacion, alertando de todos los productos vencidos, incluidos los medicamentos</t>
  </si>
  <si>
    <t>El Resumen contabiliza unicamente la despensa: PRODUCTOS 4, UNIDADES 4 y VENCIDOS 1, pese a existir un medicamento vencido hace 979 dias. Gastos si suma ambas categorias (6 productos y 6 unidades) y Compras incluye medicamentos en la lista del supermercado: cada seccion aplica un criterio distinto</t>
  </si>
  <si>
    <t>SE-01_esc4_vencidos_inicio.png, SE-02_esc2_gastos.png, SE-02_esc1_lista_supermercado.png</t>
  </si>
  <si>
    <t>Unificar el criterio de agregacion entre Resumen, Gastos y Compras. Si el Resumen debe mostrar solo la despensa, indicarlo de forma explicita e incorporar una alerta propia de medicamentos vencidos, dado que el vencimiento es mas critico en el Botiquin que en la despensa.</t>
  </si>
  <si>
    <t>Pesos para el score de priorizacion</t>
  </si>
  <si>
    <t>Nivel</t>
  </si>
  <si>
    <t>Peso</t>
  </si>
  <si>
    <t>Critica</t>
  </si>
  <si>
    <t>Baja</t>
  </si>
  <si>
    <t>Score = peso(Severidad) x peso(Prioridad). Ordena de mayor a menor para armar la matriz priorizada de la Fase 2.</t>
  </si>
  <si>
    <t>Testing exploratorio</t>
  </si>
  <si>
    <t>Sesion</t>
  </si>
  <si>
    <t>Charter (objetivo de la sesion)</t>
  </si>
  <si>
    <t>Duracion</t>
  </si>
  <si>
    <t>Escenario explorado</t>
  </si>
  <si>
    <t>Accion realizada</t>
  </si>
  <si>
    <t>Resultado observado</t>
  </si>
  <si>
    <t>Es hallazgo nuevo</t>
  </si>
  <si>
    <t>Nuevo caso propuesto</t>
  </si>
  <si>
    <t>SE-01</t>
  </si>
  <si>
    <t>Botiquin</t>
  </si>
  <si>
    <t>Explorar el registro de medicamentos y verificar si se comporta igual que el inventario de despensa</t>
  </si>
  <si>
    <t>10 min</t>
  </si>
  <si>
    <t>Registro de medicamento vencido</t>
  </si>
  <si>
    <t>Registrar Paracetamol / Lab Chile con fecha de vencimiento 01-01-2024 y revisar los contadores</t>
  </si>
  <si>
    <t>El Botiquin es una seccion independiente con sus propios contadores (MEDICAMENTOS, STOCK BAJO, POR VENCER, VENCIDOS). El medicamento se registra correctamente y marca Vencido hace 979 dias dentro del Botiquin</t>
  </si>
  <si>
    <t>SE-01_esc1_botiquin_vencido.png</t>
  </si>
  <si>
    <t>Mismo nombre de producto en Despensa y en Botiquin</t>
  </si>
  <si>
    <t>Registrar un producto llamado Arroz / Tucapel en Botiquin, existiendo ya un Arroz Tucapel en Despensa</t>
  </si>
  <si>
    <t>La aplicacion avisa: Ya tienes 1 registro(s) llamados «Arroz», muestra el registro existente y explica que cada marca o formato se guarda como registro independiente. El producto queda en Botiquin y no aparece en Inventario: las listas se mantienen separadas</t>
  </si>
  <si>
    <t>SE-01_esc2_aviso_duplicado.png, SE-01_esc2_botiquin_2meds.png, SE-01_esc2_inventario_sin_arroz.png</t>
  </si>
  <si>
    <t>Deshacer global</t>
  </si>
  <si>
    <t>Escenario no planificado surgido durante la sesion de Botiquin</t>
  </si>
  <si>
    <t>Boton flotante de deshacer</t>
  </si>
  <si>
    <t>Presionar dos veces seguidas el boton flotante de deshacer ubicado abajo a la izquierda</t>
  </si>
  <si>
    <t>El boton ejecuta la accion de inmediato, sin indicar previamente que se va a deshacer ni pedir confirmacion. Se eliminaron dos registros del Botiquin de forma accidental. El unico aviso es el mensaje posterior Ultima accion deshecha, cuando la accion ya se ejecuto</t>
  </si>
  <si>
    <t>CP-11: verificar que el deshacer global informa la accion a revertir y solicita confirmacion antes de ejecutarla</t>
  </si>
  <si>
    <t>SE-02</t>
  </si>
  <si>
    <t>Compras</t>
  </si>
  <si>
    <t>Explorar como se arma la lista de compras a partir del stock minimo</t>
  </si>
  <si>
    <t>Composicion de la lista de compras</t>
  </si>
  <si>
    <t>Revisar el contenido de la seccion Compras con productos de Despensa y de Botiquin registrados</t>
  </si>
  <si>
    <t>La lista, titulada Lista del supermercado, incluye los medicamentos del Botiquin junto a los productos de despensa (aparece Paracetamol Lab Chile). El Botiquin se mantiene separado en el resto de la aplicacion pero se fusiona en Compras, mezclando dos dominios distintos</t>
  </si>
  <si>
    <t>SE-02_esc1_lista_supermercado.png</t>
  </si>
  <si>
    <t>CP-12: verificar que la lista de compras permite distinguir o filtrar los items de Botiquin respecto de los de Despensa</t>
  </si>
  <si>
    <t>Gastos</t>
  </si>
  <si>
    <t>Explorar el calculo de gastos y su relacion con los precios registrados</t>
  </si>
  <si>
    <t>Gastos frente a precios registrados</t>
  </si>
  <si>
    <t>Revisar la seccion Gastos teniendo productos con precio unitario ingresado manualmente</t>
  </si>
  <si>
    <t>Las existencias y el valor por categoria son correctos (6 productos, 6 unidades, $2.480). Sin embargo GASTO DEL MES y GASTO ACUMULADO muestran $0 pese a existir precios registrados: los gastos solo contabilizan boletas escaneadas y no los precios ingresados manualmente, sin que la interfaz lo explique</t>
  </si>
  <si>
    <t>SE-02_esc2_gastos.png</t>
  </si>
  <si>
    <t>CP-13: verificar que la seccion Gastos indica que solo contabiliza boletas escaneadas</t>
  </si>
  <si>
    <t>SE-03</t>
  </si>
  <si>
    <t>Busqueda en Inventario</t>
  </si>
  <si>
    <t>Explorar el buscador del inventario con entradas limite y valores inesperados</t>
  </si>
  <si>
    <t>Mayusculas, error de tipeo y busqueda por marca</t>
  </si>
  <si>
    <t>Buscar ARROZ en mayusculas, luego Arrz mal escrito, luego Tucapel como marca</t>
  </si>
  <si>
    <t>ARROZ encuentra el producto: el buscador no distingue mayusculas de minusculas. Arrz no arroja resultados: no hay tolerancia a errores de tipeo, comportamiento esperable. Tucapel encuentra el producto, confirmando que busca por marca como anuncia el campo</t>
  </si>
  <si>
    <t>SE-03_esc1_mayusculas.png, SE-03_esc1_tipeo.png, SE-03_esc1_marca.png</t>
  </si>
  <si>
    <t>Caracteres especiales y campo vacio</t>
  </si>
  <si>
    <t>Buscar &lt;&gt;@#$% y luego dejar el campo de busqueda vacio</t>
  </si>
  <si>
    <t>Con caracteres especiales muestra el mensaje No hay productos que coincidan con el filtro, sin errores ni pantalla en blanco. Con el campo vacio vuelve a listar los 4 productos. El manejo del estado sin resultados es correcto</t>
  </si>
  <si>
    <t>SE-03_esc2_caracteres.png, SE-03_esc2_vacio.png</t>
  </si>
  <si>
    <t>Botiquin / Resumen</t>
  </si>
  <si>
    <t>Escenario derivado: verificar si el Resumen de Inicio refleja los medicamentos</t>
  </si>
  <si>
    <t>Contadores del Inicio frente al contenido del Botiquin</t>
  </si>
  <si>
    <t>Registrar nuevamente Paracetamol Lab Chile con vencimiento 01-01-2024 y comparar los contadores del Inicio con el contenido real de Botiquin e Inventario</t>
  </si>
  <si>
    <t>El Inicio muestra PRODUCTOS 4, UNIDADES 4 y VENCIDOS 1, contabilizando solo la despensa. El Paracetamol vencido hace 979 dias no incide en ningun contador del Resumen. En cambio la seccion Gastos si suma ambas categorias (6 productos, 6 unidades) y Compras mezcla medicamentos con productos de despensa: tres secciones aplican criterios distintos</t>
  </si>
  <si>
    <t>SE-01_esc4_vencidos_inicio.png, SE-01_esc4_filtro_vencidos.png</t>
  </si>
  <si>
    <t>CP-14: verificar que los contadores del Resumen incluyen los medicamentos vencidos del Botiquin</t>
  </si>
  <si>
    <t xml:space="preserve">Automatizacion </t>
  </si>
  <si>
    <t>Script</t>
  </si>
  <si>
    <t>Caso vinculado</t>
  </si>
  <si>
    <t>Aserciones</t>
  </si>
  <si>
    <t>Entorno</t>
  </si>
  <si>
    <t>Corrida</t>
  </si>
  <si>
    <t>Resultado</t>
  </si>
  <si>
    <t>Duracion (s)</t>
  </si>
  <si>
    <t>Observaciones</t>
  </si>
  <si>
    <t>CP-03_ingresar.spec.js</t>
  </si>
  <si>
    <t>Chrome 152 escritorio 1920x1080</t>
  </si>
  <si>
    <t>test-results/ (trace.zip por ejecucion)</t>
  </si>
  <si>
    <t>Sin variacion entre corridas</t>
  </si>
  <si>
    <t>CP-04_ingresar_invalido.spec.js</t>
  </si>
  <si>
    <t>CP-07_codigo_inexistente.spec.js (numerico)</t>
  </si>
  <si>
    <t>CP-07_codigo_inexistente.spec.js (alfabetico)</t>
  </si>
  <si>
    <t>Chrome 152 movil 390x844</t>
  </si>
  <si>
    <t>24 ejecuciones: 4 tests x 2 entornos x 3 corridas. CP-07 esta parametrizado con dos codigos y genera dos tests desde un mismo script. Comando: npx playwright test --repeat-each=3</t>
  </si>
  <si>
    <t xml:space="preserve">Metricas y analisis </t>
  </si>
  <si>
    <t>PRUEBAS MANUALES</t>
  </si>
  <si>
    <t>Casos disenados</t>
  </si>
  <si>
    <t>Casos ejecutados</t>
  </si>
  <si>
    <t>Casos aprobados</t>
  </si>
  <si>
    <t>Casos fallidos</t>
  </si>
  <si>
    <t>Tasa de exito manual</t>
  </si>
  <si>
    <t>Aprobados / ejecutados</t>
  </si>
  <si>
    <t>Casos con sesion iniciada</t>
  </si>
  <si>
    <t>La rubrica pide minimo 2</t>
  </si>
  <si>
    <t>Casos negativos o de borde</t>
  </si>
  <si>
    <t>DEFECTOS</t>
  </si>
  <si>
    <t>Defectos documentados</t>
  </si>
  <si>
    <t>Metrica 2. La rubrica pide minimo 3</t>
  </si>
  <si>
    <t>Defectos severidad Alta o Critica</t>
  </si>
  <si>
    <t>Densidad de defectos por caso ejecutado</t>
  </si>
  <si>
    <t>Defectos por caso ejecutado</t>
  </si>
  <si>
    <t>EXPLORATORIO</t>
  </si>
  <si>
    <t>Escenarios explorados</t>
  </si>
  <si>
    <t>La rubrica pide minimo 6</t>
  </si>
  <si>
    <t>Hallazgos nuevos</t>
  </si>
  <si>
    <t>Metrica 4. Minimo 2</t>
  </si>
  <si>
    <t>AUTOMATIZACION</t>
  </si>
  <si>
    <t>Ejecuciones automatizadas</t>
  </si>
  <si>
    <t>Ejecuciones aprobadas</t>
  </si>
  <si>
    <t>Tasa de consistencia automatizada</t>
  </si>
  <si>
    <t>Ejecuciones con resultado repetible</t>
  </si>
  <si>
    <t>Duracion promedio por ejecucion (s)</t>
  </si>
  <si>
    <t>Metrica 6</t>
  </si>
  <si>
    <t>Total de aserciones implementadas</t>
  </si>
  <si>
    <t>TENDENCIAS Y RECOMENDACIONES</t>
  </si>
  <si>
    <t>Tendencia 1</t>
  </si>
  <si>
    <t>Ningun mensaje del sistema de autenticacion esta traducido: los textos del proveedor llegan crudos a la interfaz (BUG-01).</t>
  </si>
  <si>
    <t>Tendencia 2</t>
  </si>
  <si>
    <t>La validacion de entradas ocurre despues de guardar, no antes: valores invalidos se aceptan y se corrigen o descartan en silencio (BUG-02, BUG-04, BUG-05).</t>
  </si>
  <si>
    <t>Tendencia 3</t>
  </si>
  <si>
    <t>La proteccion existe al restar stock pero no al sumarlo: el stock nunca baja de 0 (CP-09), pero admite decimales al ingresar (BUG-04).</t>
  </si>
  <si>
    <t>Tendencia 4</t>
  </si>
  <si>
    <t>Las acciones que modifican o eliminan datos se ejecutan sin confirmacion: el boton de deshacer borra registros al primer clic (BUG-06) y los valores invalidos se descartan en silencio (BUG-02, BUG-05). El usuario no controla ni percibe los cambios sobre sus datos.</t>
  </si>
  <si>
    <t>Tendencia 5</t>
  </si>
  <si>
    <t>No hay un criterio unico de agregacion entre secciones: el Resumen contabiliza solo la despensa, Gastos suma despensa y botiquin, y Compras mezcla ambas en una sola lista (BUG-07). El mismo dato arroja tres totales distintos segun donde se consulte.</t>
  </si>
  <si>
    <t>Recomendacion 1</t>
  </si>
  <si>
    <t>Validar en el formulario antes de enviar: fecha real, minimo 1 y solo enteros cuando la unidad no admite fracciones. Cubre BUG-02, BUG-04 y BUG-05.</t>
  </si>
  <si>
    <t>Recomendacion 2</t>
  </si>
  <si>
    <t>Traducir los errores de autenticacion a mensajes propios en espanol. Cubre BUG-01.</t>
  </si>
  <si>
    <t>Recomendacion 3</t>
  </si>
  <si>
    <t>Nunca descartar un dato del usuario en silencio: si un valor no es valido, avisarlo en pantalla.</t>
  </si>
  <si>
    <t>Comparacion manual vs automatizado</t>
  </si>
  <si>
    <t>Las pruebas manuales dieron 50% de exito y las automatizadas 100%. La diferencia no indica mejora del software: los scripts verifican el comportamiento ya observado, no el esperado. CP-04 aprueba confirmando que el mensaje sale en ingles, que es justamente BUG-01. La automatizacion mide estabilidad; los defectos se detectan en la ejecucion manual y en la exploracion.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</si>
</sst>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charset val="1"/>
    </font>
    <font>
      <b/>
      <sz val="16"/>
      <color rgb="FF1F3864"/>
      <name val="Arial"/>
      <family val="2"/>
      <charset val="1"/>
    </font>
    <font>
      <sz val="16"/>
      <color theme="1"/>
      <name val="Calibri"/>
      <family val="2"/>
      <charset val="1"/>
    </font>
    <font>
      <b/>
      <sz val="10"/>
      <color rgb="FFFFFFFF"/>
      <name val="Arial"/>
      <charset val="1"/>
    </font>
    <font>
      <sz val="9"/>
      <name val="Arial"/>
      <charset val="1"/>
    </font>
    <font>
      <b/>
      <sz val="10"/>
      <name val="Arial"/>
      <charset val="1"/>
    </font>
    <font>
      <i/>
      <sz val="8"/>
      <color rgb="FF808080"/>
      <name val="Arial"/>
      <charset val="1"/>
    </font>
    <font>
      <b/>
      <sz val="11"/>
      <color rgb="FFFFFFFF"/>
      <name val="Arial"/>
      <charset val="1"/>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CE4E4"/>
        <bgColor rgb="FFFFF2CC"/>
      </patternFill>
    </fill>
    <fill>
      <patternFill patternType="solid">
        <fgColor rgb="FFFFF2CC"/>
        <bgColor rgb="FFFCE4E4"/>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5">
    <xf numFmtId="0" fontId="0" fillId="0" borderId="0" xfId="0"/>
    <xf numFmtId="0" fontId="1" fillId="0" borderId="0" xfId="0" applyFont="1" applyAlignment="1">
      <alignment horizontal="center"/>
    </xf>
    <xf numFmtId="0" fontId="2"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0" xfId="0" applyAlignment="1">
      <alignment vertical="top" wrapText="1"/>
    </xf>
    <xf numFmtId="0" fontId="4" fillId="0" borderId="1" xfId="0" applyFont="1" applyBorder="1" applyAlignment="1">
      <alignment horizontal="center" vertical="center" wrapText="1"/>
    </xf>
    <xf numFmtId="0" fontId="5" fillId="0" borderId="0" xfId="0" applyFont="1"/>
    <xf numFmtId="0" fontId="3" fillId="2" borderId="0" xfId="0" applyFont="1" applyFill="1" applyAlignment="1">
      <alignment horizontal="center" vertical="center" wrapText="1"/>
    </xf>
    <xf numFmtId="0" fontId="4" fillId="0" borderId="1" xfId="0" applyFont="1" applyBorder="1"/>
    <xf numFmtId="0" fontId="6" fillId="0" borderId="0" xfId="0" applyFont="1"/>
    <xf numFmtId="0" fontId="6" fillId="0" borderId="0" xfId="0" applyFont="1" applyAlignment="1">
      <alignment vertical="top" wrapText="1"/>
    </xf>
    <xf numFmtId="0" fontId="1" fillId="0" borderId="0" xfId="0" applyFont="1"/>
    <xf numFmtId="0" fontId="7" fillId="2" borderId="0" xfId="0" applyFont="1" applyFill="1" applyAlignment="1">
      <alignment vertical="top" wrapText="1"/>
    </xf>
    <xf numFmtId="0" fontId="0" fillId="2" borderId="0" xfId="0" applyFill="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164" fontId="4" fillId="0" borderId="1" xfId="0" applyNumberFormat="1" applyFont="1" applyBorder="1" applyAlignment="1">
      <alignment vertical="top" wrapText="1"/>
    </xf>
    <xf numFmtId="2" fontId="4" fillId="0" borderId="1" xfId="0" applyNumberFormat="1" applyFont="1" applyBorder="1" applyAlignment="1">
      <alignment vertical="top" wrapText="1"/>
    </xf>
    <xf numFmtId="165" fontId="4" fillId="0" borderId="1" xfId="0" applyNumberFormat="1" applyFont="1" applyBorder="1" applyAlignment="1">
      <alignment vertical="top" wrapText="1"/>
    </xf>
    <xf numFmtId="0" fontId="4" fillId="5" borderId="1" xfId="0" applyFont="1"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zoomScale="80" zoomScaleNormal="80" workbookViewId="0">
      <pane xSplit="1" ySplit="3" topLeftCell="E4" activePane="bottomRight" state="frozen"/>
      <selection pane="topRight" activeCell="B1" sqref="B1"/>
      <selection pane="bottomLeft" activeCell="A4" sqref="A4"/>
      <selection pane="bottomRight" activeCell="J13" sqref="J13"/>
    </sheetView>
  </sheetViews>
  <sheetFormatPr baseColWidth="10" defaultColWidth="8.6640625" defaultRowHeight="14.4" x14ac:dyDescent="0.3"/>
  <cols>
    <col min="1" max="1" width="8" customWidth="1"/>
    <col min="2" max="2" width="16" customWidth="1"/>
    <col min="3" max="4" width="10" customWidth="1"/>
    <col min="5" max="5" width="30" customWidth="1"/>
    <col min="6" max="6" width="22" customWidth="1"/>
    <col min="7" max="7" width="26" customWidth="1"/>
    <col min="8" max="8" width="42" customWidth="1"/>
    <col min="9" max="9" width="40" customWidth="1"/>
    <col min="10" max="10" width="44" customWidth="1"/>
    <col min="11" max="11" width="11" customWidth="1"/>
    <col min="12" max="12" width="34" customWidth="1"/>
    <col min="13" max="13" width="24" customWidth="1"/>
    <col min="14" max="14" width="12" customWidth="1"/>
  </cols>
  <sheetData>
    <row r="1" spans="1:12" ht="21" customHeight="1" x14ac:dyDescent="0.4">
      <c r="A1" s="1" t="s">
        <v>0</v>
      </c>
      <c r="B1" s="1"/>
      <c r="C1" s="1"/>
      <c r="D1" s="1"/>
      <c r="E1" s="1"/>
      <c r="F1" s="2"/>
      <c r="G1" s="2"/>
    </row>
    <row r="3" spans="1:12" ht="31.5" customHeight="1" x14ac:dyDescent="0.3">
      <c r="A3" s="3" t="s">
        <v>1</v>
      </c>
      <c r="B3" s="3" t="s">
        <v>2</v>
      </c>
      <c r="C3" s="3" t="s">
        <v>3</v>
      </c>
      <c r="D3" s="3" t="s">
        <v>4</v>
      </c>
      <c r="E3" s="3" t="s">
        <v>5</v>
      </c>
      <c r="F3" s="3" t="s">
        <v>6</v>
      </c>
      <c r="G3" s="3" t="s">
        <v>7</v>
      </c>
      <c r="H3" s="3" t="s">
        <v>8</v>
      </c>
      <c r="I3" s="3" t="s">
        <v>9</v>
      </c>
      <c r="J3" s="3" t="s">
        <v>10</v>
      </c>
      <c r="K3" s="3" t="s">
        <v>11</v>
      </c>
      <c r="L3" s="3" t="s">
        <v>12</v>
      </c>
    </row>
    <row r="4" spans="1:12" ht="94.5" customHeight="1" x14ac:dyDescent="0.3">
      <c r="A4" s="4" t="s">
        <v>13</v>
      </c>
      <c r="B4" s="4" t="s">
        <v>14</v>
      </c>
      <c r="C4" s="4" t="s">
        <v>15</v>
      </c>
      <c r="D4" s="4" t="s">
        <v>16</v>
      </c>
      <c r="E4" s="4" t="s">
        <v>17</v>
      </c>
      <c r="F4" s="4" t="s">
        <v>18</v>
      </c>
      <c r="G4" s="4" t="s">
        <v>19</v>
      </c>
      <c r="H4" s="4" t="s">
        <v>20</v>
      </c>
      <c r="I4" s="4" t="s">
        <v>21</v>
      </c>
      <c r="J4" s="4" t="s">
        <v>22</v>
      </c>
      <c r="K4" s="5" t="s">
        <v>23</v>
      </c>
      <c r="L4" s="4" t="s">
        <v>24</v>
      </c>
    </row>
    <row r="5" spans="1:12" ht="94.5" customHeight="1" x14ac:dyDescent="0.3">
      <c r="A5" s="4" t="s">
        <v>25</v>
      </c>
      <c r="B5" s="4" t="s">
        <v>14</v>
      </c>
      <c r="C5" s="4" t="s">
        <v>26</v>
      </c>
      <c r="D5" s="4" t="s">
        <v>16</v>
      </c>
      <c r="E5" s="4" t="s">
        <v>27</v>
      </c>
      <c r="F5" s="4" t="s">
        <v>28</v>
      </c>
      <c r="G5" s="4" t="s">
        <v>29</v>
      </c>
      <c r="H5" s="4" t="s">
        <v>30</v>
      </c>
      <c r="I5" s="4" t="s">
        <v>31</v>
      </c>
      <c r="J5" s="4" t="s">
        <v>32</v>
      </c>
      <c r="K5" s="6" t="s">
        <v>33</v>
      </c>
      <c r="L5" s="4" t="s">
        <v>34</v>
      </c>
    </row>
    <row r="6" spans="1:12" ht="94.5" customHeight="1" x14ac:dyDescent="0.3">
      <c r="A6" s="4" t="s">
        <v>35</v>
      </c>
      <c r="B6" s="4" t="s">
        <v>36</v>
      </c>
      <c r="C6" s="4" t="s">
        <v>15</v>
      </c>
      <c r="D6" s="4" t="s">
        <v>16</v>
      </c>
      <c r="E6" s="4" t="s">
        <v>37</v>
      </c>
      <c r="F6" s="4" t="s">
        <v>38</v>
      </c>
      <c r="G6" s="4" t="s">
        <v>39</v>
      </c>
      <c r="H6" s="4" t="s">
        <v>40</v>
      </c>
      <c r="I6" s="4" t="s">
        <v>41</v>
      </c>
      <c r="J6" s="4" t="s">
        <v>42</v>
      </c>
      <c r="K6" s="6" t="s">
        <v>33</v>
      </c>
      <c r="L6" s="4" t="s">
        <v>43</v>
      </c>
    </row>
    <row r="7" spans="1:12" ht="94.5" customHeight="1" x14ac:dyDescent="0.3">
      <c r="A7" s="4" t="s">
        <v>44</v>
      </c>
      <c r="B7" s="4" t="s">
        <v>36</v>
      </c>
      <c r="C7" s="4" t="s">
        <v>26</v>
      </c>
      <c r="D7" s="4" t="s">
        <v>16</v>
      </c>
      <c r="E7" s="4" t="s">
        <v>45</v>
      </c>
      <c r="F7" s="4" t="s">
        <v>38</v>
      </c>
      <c r="G7" s="4" t="s">
        <v>46</v>
      </c>
      <c r="H7" s="4" t="s">
        <v>47</v>
      </c>
      <c r="I7" s="4" t="s">
        <v>48</v>
      </c>
      <c r="J7" s="4" t="s">
        <v>49</v>
      </c>
      <c r="K7" s="6" t="s">
        <v>33</v>
      </c>
      <c r="L7" s="4" t="s">
        <v>50</v>
      </c>
    </row>
    <row r="8" spans="1:12" ht="94.5" customHeight="1" x14ac:dyDescent="0.3">
      <c r="A8" s="4" t="s">
        <v>51</v>
      </c>
      <c r="B8" s="4" t="s">
        <v>52</v>
      </c>
      <c r="C8" s="4" t="s">
        <v>15</v>
      </c>
      <c r="D8" s="4" t="s">
        <v>53</v>
      </c>
      <c r="E8" s="4" t="s">
        <v>54</v>
      </c>
      <c r="F8" s="4" t="s">
        <v>55</v>
      </c>
      <c r="G8" s="4" t="s">
        <v>56</v>
      </c>
      <c r="H8" s="4" t="s">
        <v>57</v>
      </c>
      <c r="I8" s="4" t="s">
        <v>58</v>
      </c>
      <c r="J8" s="4" t="s">
        <v>59</v>
      </c>
      <c r="K8" s="5" t="s">
        <v>23</v>
      </c>
      <c r="L8" s="4" t="s">
        <v>60</v>
      </c>
    </row>
    <row r="9" spans="1:12" ht="94.5" customHeight="1" x14ac:dyDescent="0.3">
      <c r="A9" s="4" t="s">
        <v>61</v>
      </c>
      <c r="B9" s="4" t="s">
        <v>52</v>
      </c>
      <c r="C9" s="4" t="s">
        <v>62</v>
      </c>
      <c r="D9" s="4" t="s">
        <v>53</v>
      </c>
      <c r="E9" s="4" t="s">
        <v>63</v>
      </c>
      <c r="F9" s="4" t="s">
        <v>55</v>
      </c>
      <c r="G9" s="4" t="s">
        <v>64</v>
      </c>
      <c r="H9" s="4" t="s">
        <v>65</v>
      </c>
      <c r="I9" s="4" t="s">
        <v>66</v>
      </c>
      <c r="J9" s="4" t="s">
        <v>67</v>
      </c>
      <c r="K9" s="6" t="s">
        <v>33</v>
      </c>
      <c r="L9" s="4" t="s">
        <v>68</v>
      </c>
    </row>
    <row r="10" spans="1:12" ht="94.5" customHeight="1" x14ac:dyDescent="0.3">
      <c r="A10" s="4" t="s">
        <v>69</v>
      </c>
      <c r="B10" s="4" t="s">
        <v>70</v>
      </c>
      <c r="C10" s="4" t="s">
        <v>26</v>
      </c>
      <c r="D10" s="4" t="s">
        <v>53</v>
      </c>
      <c r="E10" s="4" t="s">
        <v>71</v>
      </c>
      <c r="F10" s="4" t="s">
        <v>55</v>
      </c>
      <c r="G10" s="4" t="s">
        <v>72</v>
      </c>
      <c r="H10" s="4" t="s">
        <v>73</v>
      </c>
      <c r="I10" s="4" t="s">
        <v>74</v>
      </c>
      <c r="J10" s="4" t="s">
        <v>75</v>
      </c>
      <c r="K10" s="5" t="s">
        <v>23</v>
      </c>
      <c r="L10" s="4" t="s">
        <v>76</v>
      </c>
    </row>
    <row r="11" spans="1:12" ht="94.5" customHeight="1" x14ac:dyDescent="0.3">
      <c r="A11" s="4" t="s">
        <v>77</v>
      </c>
      <c r="B11" s="4" t="s">
        <v>70</v>
      </c>
      <c r="C11" s="4" t="s">
        <v>62</v>
      </c>
      <c r="D11" s="4" t="s">
        <v>53</v>
      </c>
      <c r="E11" s="4" t="s">
        <v>78</v>
      </c>
      <c r="F11" s="4" t="s">
        <v>79</v>
      </c>
      <c r="G11" s="4" t="s">
        <v>80</v>
      </c>
      <c r="H11" s="4" t="s">
        <v>81</v>
      </c>
      <c r="I11" s="4" t="s">
        <v>82</v>
      </c>
      <c r="J11" s="4" t="s">
        <v>83</v>
      </c>
      <c r="K11" s="6" t="s">
        <v>33</v>
      </c>
      <c r="L11" s="4" t="s">
        <v>84</v>
      </c>
    </row>
    <row r="12" spans="1:12" ht="94.5" customHeight="1" x14ac:dyDescent="0.3">
      <c r="A12" s="4" t="s">
        <v>85</v>
      </c>
      <c r="B12" s="4" t="s">
        <v>70</v>
      </c>
      <c r="C12" s="4" t="s">
        <v>26</v>
      </c>
      <c r="D12" s="4" t="s">
        <v>53</v>
      </c>
      <c r="E12" s="4" t="s">
        <v>86</v>
      </c>
      <c r="F12" s="4" t="s">
        <v>87</v>
      </c>
      <c r="G12" s="4" t="s">
        <v>88</v>
      </c>
      <c r="H12" s="4" t="s">
        <v>89</v>
      </c>
      <c r="I12" s="4" t="s">
        <v>90</v>
      </c>
      <c r="J12" s="4" t="s">
        <v>91</v>
      </c>
      <c r="K12" s="5" t="s">
        <v>23</v>
      </c>
      <c r="L12" s="4" t="s">
        <v>92</v>
      </c>
    </row>
    <row r="13" spans="1:12" ht="127.5" customHeight="1" x14ac:dyDescent="0.3">
      <c r="A13" s="4" t="s">
        <v>93</v>
      </c>
      <c r="B13" s="4" t="s">
        <v>94</v>
      </c>
      <c r="C13" s="4" t="s">
        <v>15</v>
      </c>
      <c r="D13" s="4" t="s">
        <v>53</v>
      </c>
      <c r="E13" s="4" t="s">
        <v>95</v>
      </c>
      <c r="F13" s="4" t="s">
        <v>96</v>
      </c>
      <c r="G13" s="4" t="s">
        <v>97</v>
      </c>
      <c r="H13" s="4" t="s">
        <v>98</v>
      </c>
      <c r="I13" s="4" t="s">
        <v>99</v>
      </c>
      <c r="J13" s="7" t="s">
        <v>100</v>
      </c>
      <c r="K13" s="5" t="s">
        <v>23</v>
      </c>
      <c r="L13" s="4" t="s">
        <v>101</v>
      </c>
    </row>
  </sheetData>
  <mergeCells count="1">
    <mergeCell ref="A1:E1"/>
  </mergeCells>
  <dataValidations count="1">
    <dataValidation type="list" allowBlank="1" sqref="K4:K13" xr:uid="{00000000-0002-0000-0000-000000000000}">
      <formula1>"Aprobado,Fallido,Bloqueado,No ejecutado"</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8"/>
  <sheetViews>
    <sheetView zoomScale="90" zoomScaleNormal="90" workbookViewId="0">
      <pane xSplit="1" ySplit="3" topLeftCell="B4" activePane="bottomRight" state="frozen"/>
      <selection pane="topRight" activeCell="B1" sqref="B1"/>
      <selection pane="bottomLeft" activeCell="A4" sqref="A4"/>
      <selection pane="bottomRight" sqref="A1:B1"/>
    </sheetView>
  </sheetViews>
  <sheetFormatPr baseColWidth="10" defaultColWidth="8.6640625" defaultRowHeight="14.4" x14ac:dyDescent="0.3"/>
  <cols>
    <col min="1" max="1" width="9" customWidth="1"/>
    <col min="2" max="2" width="40" customWidth="1"/>
    <col min="3" max="3" width="14" customWidth="1"/>
    <col min="4" max="4" width="20" customWidth="1"/>
    <col min="5" max="5" width="48" customWidth="1"/>
    <col min="6" max="6" width="36" customWidth="1"/>
    <col min="7" max="7" width="40" customWidth="1"/>
    <col min="8" max="8" width="30" customWidth="1"/>
    <col min="9" max="10" width="11" customWidth="1"/>
    <col min="11" max="11" width="24" customWidth="1"/>
    <col min="12" max="12" width="8" customWidth="1"/>
    <col min="13" max="13" width="52" customWidth="1"/>
  </cols>
  <sheetData>
    <row r="1" spans="1:13" ht="21" customHeight="1" x14ac:dyDescent="0.4">
      <c r="A1" s="1" t="s">
        <v>102</v>
      </c>
      <c r="B1" s="1"/>
    </row>
    <row r="3" spans="1:13" ht="31.5" customHeight="1" x14ac:dyDescent="0.3">
      <c r="A3" s="3" t="s">
        <v>1</v>
      </c>
      <c r="B3" s="3" t="s">
        <v>103</v>
      </c>
      <c r="C3" s="3" t="s">
        <v>104</v>
      </c>
      <c r="D3" s="3" t="s">
        <v>105</v>
      </c>
      <c r="E3" s="3" t="s">
        <v>106</v>
      </c>
      <c r="F3" s="3" t="s">
        <v>9</v>
      </c>
      <c r="G3" s="3" t="s">
        <v>10</v>
      </c>
      <c r="H3" s="3" t="s">
        <v>107</v>
      </c>
      <c r="I3" s="3" t="s">
        <v>108</v>
      </c>
      <c r="J3" s="3" t="s">
        <v>109</v>
      </c>
      <c r="K3" s="3" t="s">
        <v>110</v>
      </c>
      <c r="L3" s="3" t="s">
        <v>111</v>
      </c>
      <c r="M3" s="3" t="s">
        <v>112</v>
      </c>
    </row>
    <row r="4" spans="1:13" ht="150" customHeight="1" x14ac:dyDescent="0.3">
      <c r="A4" s="4" t="s">
        <v>113</v>
      </c>
      <c r="B4" s="4" t="s">
        <v>114</v>
      </c>
      <c r="C4" s="4" t="s">
        <v>115</v>
      </c>
      <c r="D4" s="4" t="s">
        <v>116</v>
      </c>
      <c r="E4" s="4" t="s">
        <v>117</v>
      </c>
      <c r="F4" s="4" t="s">
        <v>118</v>
      </c>
      <c r="G4" s="4" t="s">
        <v>119</v>
      </c>
      <c r="H4" s="4" t="s">
        <v>120</v>
      </c>
      <c r="I4" s="8" t="s">
        <v>121</v>
      </c>
      <c r="J4" s="8" t="s">
        <v>122</v>
      </c>
      <c r="K4" s="4" t="s">
        <v>123</v>
      </c>
      <c r="L4" s="8">
        <f t="shared" ref="L4:L10" si="0">IFERROR(INDEX($B$13:$B$16,MATCH(I4,$A$13:$A$16,0))*INDEX($B$13:$B$16,MATCH(J4,$A$13:$A$16,0)),"")</f>
        <v>6</v>
      </c>
      <c r="M4" s="4" t="s">
        <v>124</v>
      </c>
    </row>
    <row r="5" spans="1:13" ht="150" customHeight="1" x14ac:dyDescent="0.3">
      <c r="A5" s="4" t="s">
        <v>125</v>
      </c>
      <c r="B5" s="4" t="s">
        <v>126</v>
      </c>
      <c r="C5" s="4" t="s">
        <v>61</v>
      </c>
      <c r="D5" s="4" t="s">
        <v>127</v>
      </c>
      <c r="E5" s="4" t="s">
        <v>128</v>
      </c>
      <c r="F5" s="4" t="s">
        <v>129</v>
      </c>
      <c r="G5" s="4" t="s">
        <v>130</v>
      </c>
      <c r="H5" s="4" t="s">
        <v>131</v>
      </c>
      <c r="I5" s="8" t="s">
        <v>122</v>
      </c>
      <c r="J5" s="8" t="s">
        <v>122</v>
      </c>
      <c r="K5" s="4" t="s">
        <v>123</v>
      </c>
      <c r="L5" s="8">
        <f t="shared" si="0"/>
        <v>9</v>
      </c>
      <c r="M5" s="4" t="s">
        <v>132</v>
      </c>
    </row>
    <row r="6" spans="1:13" ht="150" customHeight="1" x14ac:dyDescent="0.3">
      <c r="A6" s="4" t="s">
        <v>133</v>
      </c>
      <c r="B6" s="4" t="s">
        <v>134</v>
      </c>
      <c r="C6" s="4" t="s">
        <v>35</v>
      </c>
      <c r="D6" s="4" t="s">
        <v>135</v>
      </c>
      <c r="E6" s="4" t="s">
        <v>136</v>
      </c>
      <c r="F6" s="4" t="s">
        <v>137</v>
      </c>
      <c r="G6" s="4" t="s">
        <v>138</v>
      </c>
      <c r="H6" s="4" t="s">
        <v>43</v>
      </c>
      <c r="I6" s="8" t="s">
        <v>121</v>
      </c>
      <c r="J6" s="8" t="s">
        <v>122</v>
      </c>
      <c r="K6" s="4" t="s">
        <v>123</v>
      </c>
      <c r="L6" s="8">
        <f t="shared" si="0"/>
        <v>6</v>
      </c>
      <c r="M6" s="4" t="s">
        <v>139</v>
      </c>
    </row>
    <row r="7" spans="1:13" ht="150" customHeight="1" x14ac:dyDescent="0.3">
      <c r="A7" s="4" t="s">
        <v>140</v>
      </c>
      <c r="B7" s="4" t="s">
        <v>141</v>
      </c>
      <c r="C7" s="4" t="s">
        <v>77</v>
      </c>
      <c r="D7" s="4" t="s">
        <v>142</v>
      </c>
      <c r="E7" s="4" t="s">
        <v>143</v>
      </c>
      <c r="F7" s="4" t="s">
        <v>144</v>
      </c>
      <c r="G7" s="4" t="s">
        <v>145</v>
      </c>
      <c r="H7" s="4" t="s">
        <v>84</v>
      </c>
      <c r="I7" s="8" t="s">
        <v>122</v>
      </c>
      <c r="J7" s="8" t="s">
        <v>122</v>
      </c>
      <c r="K7" s="4" t="s">
        <v>123</v>
      </c>
      <c r="L7" s="8">
        <f t="shared" si="0"/>
        <v>9</v>
      </c>
      <c r="M7" s="4" t="s">
        <v>146</v>
      </c>
    </row>
    <row r="8" spans="1:13" ht="150" customHeight="1" x14ac:dyDescent="0.3">
      <c r="A8" s="4" t="s">
        <v>147</v>
      </c>
      <c r="B8" s="4" t="s">
        <v>148</v>
      </c>
      <c r="C8" s="4" t="s">
        <v>77</v>
      </c>
      <c r="D8" s="4" t="s">
        <v>70</v>
      </c>
      <c r="E8" s="4" t="s">
        <v>149</v>
      </c>
      <c r="F8" s="4" t="s">
        <v>150</v>
      </c>
      <c r="G8" s="4" t="s">
        <v>151</v>
      </c>
      <c r="H8" s="4" t="s">
        <v>84</v>
      </c>
      <c r="I8" s="8" t="s">
        <v>121</v>
      </c>
      <c r="J8" s="8" t="s">
        <v>121</v>
      </c>
      <c r="K8" s="4" t="s">
        <v>123</v>
      </c>
      <c r="L8" s="8">
        <f t="shared" si="0"/>
        <v>4</v>
      </c>
      <c r="M8" s="4" t="s">
        <v>152</v>
      </c>
    </row>
    <row r="9" spans="1:13" ht="150" customHeight="1" x14ac:dyDescent="0.3">
      <c r="A9" s="4" t="s">
        <v>153</v>
      </c>
      <c r="B9" s="4" t="s">
        <v>154</v>
      </c>
      <c r="C9" s="4" t="s">
        <v>155</v>
      </c>
      <c r="D9" s="4" t="s">
        <v>156</v>
      </c>
      <c r="E9" s="4" t="s">
        <v>157</v>
      </c>
      <c r="F9" s="4" t="s">
        <v>158</v>
      </c>
      <c r="G9" s="4" t="s">
        <v>159</v>
      </c>
      <c r="H9" s="4" t="s">
        <v>160</v>
      </c>
      <c r="I9" s="8" t="s">
        <v>122</v>
      </c>
      <c r="J9" s="8" t="s">
        <v>122</v>
      </c>
      <c r="K9" s="4" t="s">
        <v>123</v>
      </c>
      <c r="L9" s="8">
        <f t="shared" si="0"/>
        <v>9</v>
      </c>
      <c r="M9" s="4" t="s">
        <v>161</v>
      </c>
    </row>
    <row r="10" spans="1:13" ht="150" customHeight="1" x14ac:dyDescent="0.3">
      <c r="A10" s="4" t="s">
        <v>162</v>
      </c>
      <c r="B10" s="4" t="s">
        <v>163</v>
      </c>
      <c r="C10" s="4" t="s">
        <v>164</v>
      </c>
      <c r="D10" s="4" t="s">
        <v>165</v>
      </c>
      <c r="E10" s="4" t="s">
        <v>166</v>
      </c>
      <c r="F10" s="4" t="s">
        <v>167</v>
      </c>
      <c r="G10" s="4" t="s">
        <v>168</v>
      </c>
      <c r="H10" s="4" t="s">
        <v>169</v>
      </c>
      <c r="I10" s="8" t="s">
        <v>122</v>
      </c>
      <c r="J10" s="8" t="s">
        <v>122</v>
      </c>
      <c r="K10" s="4" t="s">
        <v>123</v>
      </c>
      <c r="L10" s="8">
        <f t="shared" si="0"/>
        <v>9</v>
      </c>
      <c r="M10" s="4" t="s">
        <v>170</v>
      </c>
    </row>
    <row r="11" spans="1:13" ht="14.25" customHeight="1" x14ac:dyDescent="0.3">
      <c r="A11" s="9" t="s">
        <v>171</v>
      </c>
    </row>
    <row r="12" spans="1:13" ht="14.25" customHeight="1" x14ac:dyDescent="0.3">
      <c r="A12" s="10" t="s">
        <v>172</v>
      </c>
      <c r="B12" s="10" t="s">
        <v>173</v>
      </c>
    </row>
    <row r="13" spans="1:13" ht="14.25" customHeight="1" x14ac:dyDescent="0.3">
      <c r="A13" s="11" t="s">
        <v>174</v>
      </c>
      <c r="B13" s="11">
        <v>4</v>
      </c>
    </row>
    <row r="14" spans="1:13" ht="14.25" customHeight="1" x14ac:dyDescent="0.3">
      <c r="A14" s="11" t="s">
        <v>122</v>
      </c>
      <c r="B14" s="11">
        <v>3</v>
      </c>
    </row>
    <row r="15" spans="1:13" ht="14.25" customHeight="1" x14ac:dyDescent="0.3">
      <c r="A15" s="11" t="s">
        <v>121</v>
      </c>
      <c r="B15" s="11">
        <v>2</v>
      </c>
    </row>
    <row r="16" spans="1:13" ht="14.25" customHeight="1" x14ac:dyDescent="0.3">
      <c r="A16" s="11" t="s">
        <v>175</v>
      </c>
      <c r="B16" s="11">
        <v>1</v>
      </c>
    </row>
    <row r="18" spans="1:1" ht="14.25" customHeight="1" x14ac:dyDescent="0.3">
      <c r="A18" s="12" t="s">
        <v>176</v>
      </c>
    </row>
  </sheetData>
  <mergeCells count="1">
    <mergeCell ref="A1:B1"/>
  </mergeCells>
  <dataValidations count="1">
    <dataValidation type="list" allowBlank="1" sqref="I4:J8" xr:uid="{00000000-0002-0000-0100-000000000000}">
      <formula1>"Critica,Alta,Media,Baja"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zoomScale="90" zoomScaleNormal="90" workbookViewId="0">
      <pane xSplit="1" ySplit="3" topLeftCell="B4" activePane="bottomRight" state="frozen"/>
      <selection pane="topRight" activeCell="B1" sqref="B1"/>
      <selection pane="bottomLeft" activeCell="A4" sqref="A4"/>
      <selection pane="bottomRight" sqref="A1:C1"/>
    </sheetView>
  </sheetViews>
  <sheetFormatPr baseColWidth="10" defaultColWidth="8.6640625" defaultRowHeight="14.4" x14ac:dyDescent="0.3"/>
  <cols>
    <col min="1" max="1" width="10" customWidth="1"/>
    <col min="2" max="2" width="20" customWidth="1"/>
    <col min="3" max="3" width="40" customWidth="1"/>
    <col min="4" max="4" width="10" customWidth="1"/>
    <col min="5" max="5" width="32" customWidth="1"/>
    <col min="6" max="6" width="34" customWidth="1"/>
    <col min="7" max="7" width="52" customWidth="1"/>
    <col min="8" max="8" width="12" customWidth="1"/>
    <col min="9" max="9" width="32" customWidth="1"/>
    <col min="10" max="10" width="40" customWidth="1"/>
  </cols>
  <sheetData>
    <row r="1" spans="1:10" ht="21" customHeight="1" x14ac:dyDescent="0.4">
      <c r="A1" s="1" t="s">
        <v>177</v>
      </c>
      <c r="B1" s="1"/>
      <c r="C1" s="1"/>
    </row>
    <row r="3" spans="1:10" ht="31.5" customHeight="1" x14ac:dyDescent="0.3">
      <c r="A3" s="3" t="s">
        <v>178</v>
      </c>
      <c r="B3" s="3" t="s">
        <v>2</v>
      </c>
      <c r="C3" s="3" t="s">
        <v>179</v>
      </c>
      <c r="D3" s="3" t="s">
        <v>180</v>
      </c>
      <c r="E3" s="3" t="s">
        <v>181</v>
      </c>
      <c r="F3" s="3" t="s">
        <v>182</v>
      </c>
      <c r="G3" s="3" t="s">
        <v>183</v>
      </c>
      <c r="H3" s="3" t="s">
        <v>184</v>
      </c>
      <c r="I3" s="3" t="s">
        <v>107</v>
      </c>
      <c r="J3" s="3" t="s">
        <v>185</v>
      </c>
    </row>
    <row r="4" spans="1:10" ht="109.5" customHeight="1" x14ac:dyDescent="0.3">
      <c r="A4" s="4" t="s">
        <v>186</v>
      </c>
      <c r="B4" s="4" t="s">
        <v>187</v>
      </c>
      <c r="C4" s="4" t="s">
        <v>188</v>
      </c>
      <c r="D4" s="4" t="s">
        <v>189</v>
      </c>
      <c r="E4" s="4" t="s">
        <v>190</v>
      </c>
      <c r="F4" s="4" t="s">
        <v>191</v>
      </c>
      <c r="G4" s="4" t="s">
        <v>192</v>
      </c>
      <c r="H4" s="8" t="s">
        <v>16</v>
      </c>
      <c r="I4" s="4" t="s">
        <v>193</v>
      </c>
      <c r="J4" s="4"/>
    </row>
    <row r="5" spans="1:10" ht="109.5" customHeight="1" x14ac:dyDescent="0.3">
      <c r="A5" s="4" t="s">
        <v>186</v>
      </c>
      <c r="B5" s="4" t="s">
        <v>187</v>
      </c>
      <c r="C5" s="4" t="s">
        <v>188</v>
      </c>
      <c r="D5" s="4" t="s">
        <v>189</v>
      </c>
      <c r="E5" s="4" t="s">
        <v>194</v>
      </c>
      <c r="F5" s="4" t="s">
        <v>195</v>
      </c>
      <c r="G5" s="4" t="s">
        <v>196</v>
      </c>
      <c r="H5" s="8" t="s">
        <v>16</v>
      </c>
      <c r="I5" s="4" t="s">
        <v>197</v>
      </c>
      <c r="J5" s="4"/>
    </row>
    <row r="6" spans="1:10" ht="109.5" customHeight="1" x14ac:dyDescent="0.3">
      <c r="A6" s="4" t="s">
        <v>186</v>
      </c>
      <c r="B6" s="4" t="s">
        <v>198</v>
      </c>
      <c r="C6" s="4" t="s">
        <v>199</v>
      </c>
      <c r="D6" s="4" t="s">
        <v>189</v>
      </c>
      <c r="E6" s="4" t="s">
        <v>200</v>
      </c>
      <c r="F6" s="4" t="s">
        <v>201</v>
      </c>
      <c r="G6" s="4" t="s">
        <v>202</v>
      </c>
      <c r="H6" s="8" t="s">
        <v>53</v>
      </c>
      <c r="I6" s="4" t="s">
        <v>160</v>
      </c>
      <c r="J6" s="4" t="s">
        <v>203</v>
      </c>
    </row>
    <row r="7" spans="1:10" ht="109.5" customHeight="1" x14ac:dyDescent="0.3">
      <c r="A7" s="4" t="s">
        <v>204</v>
      </c>
      <c r="B7" s="4" t="s">
        <v>205</v>
      </c>
      <c r="C7" s="4" t="s">
        <v>206</v>
      </c>
      <c r="D7" s="4" t="s">
        <v>189</v>
      </c>
      <c r="E7" s="4" t="s">
        <v>207</v>
      </c>
      <c r="F7" s="4" t="s">
        <v>208</v>
      </c>
      <c r="G7" s="4" t="s">
        <v>209</v>
      </c>
      <c r="H7" s="8" t="s">
        <v>53</v>
      </c>
      <c r="I7" s="4" t="s">
        <v>210</v>
      </c>
      <c r="J7" s="4" t="s">
        <v>211</v>
      </c>
    </row>
    <row r="8" spans="1:10" ht="109.5" customHeight="1" x14ac:dyDescent="0.3">
      <c r="A8" s="4" t="s">
        <v>204</v>
      </c>
      <c r="B8" s="4" t="s">
        <v>212</v>
      </c>
      <c r="C8" s="4" t="s">
        <v>213</v>
      </c>
      <c r="D8" s="4" t="s">
        <v>189</v>
      </c>
      <c r="E8" s="4" t="s">
        <v>214</v>
      </c>
      <c r="F8" s="4" t="s">
        <v>215</v>
      </c>
      <c r="G8" s="4" t="s">
        <v>216</v>
      </c>
      <c r="H8" s="8" t="s">
        <v>53</v>
      </c>
      <c r="I8" s="4" t="s">
        <v>217</v>
      </c>
      <c r="J8" s="4" t="s">
        <v>218</v>
      </c>
    </row>
    <row r="9" spans="1:10" ht="109.5" customHeight="1" x14ac:dyDescent="0.3">
      <c r="A9" s="4" t="s">
        <v>219</v>
      </c>
      <c r="B9" s="4" t="s">
        <v>220</v>
      </c>
      <c r="C9" s="4" t="s">
        <v>221</v>
      </c>
      <c r="D9" s="4" t="s">
        <v>189</v>
      </c>
      <c r="E9" s="4" t="s">
        <v>222</v>
      </c>
      <c r="F9" s="4" t="s">
        <v>223</v>
      </c>
      <c r="G9" s="4" t="s">
        <v>224</v>
      </c>
      <c r="H9" s="8" t="s">
        <v>16</v>
      </c>
      <c r="I9" s="4" t="s">
        <v>225</v>
      </c>
      <c r="J9" s="4"/>
    </row>
    <row r="10" spans="1:10" ht="109.5" customHeight="1" x14ac:dyDescent="0.3">
      <c r="A10" s="4" t="s">
        <v>219</v>
      </c>
      <c r="B10" s="4" t="s">
        <v>220</v>
      </c>
      <c r="C10" s="4" t="s">
        <v>221</v>
      </c>
      <c r="D10" s="4" t="s">
        <v>189</v>
      </c>
      <c r="E10" s="4" t="s">
        <v>226</v>
      </c>
      <c r="F10" s="4" t="s">
        <v>227</v>
      </c>
      <c r="G10" s="4" t="s">
        <v>228</v>
      </c>
      <c r="H10" s="8" t="s">
        <v>16</v>
      </c>
      <c r="I10" s="4" t="s">
        <v>229</v>
      </c>
      <c r="J10" s="4"/>
    </row>
    <row r="11" spans="1:10" ht="120" customHeight="1" x14ac:dyDescent="0.3">
      <c r="A11" s="4" t="s">
        <v>186</v>
      </c>
      <c r="B11" s="4" t="s">
        <v>230</v>
      </c>
      <c r="C11" s="4" t="s">
        <v>231</v>
      </c>
      <c r="D11" s="4" t="s">
        <v>189</v>
      </c>
      <c r="E11" s="4" t="s">
        <v>232</v>
      </c>
      <c r="F11" s="4" t="s">
        <v>233</v>
      </c>
      <c r="G11" s="4" t="s">
        <v>234</v>
      </c>
      <c r="H11" s="8" t="s">
        <v>53</v>
      </c>
      <c r="I11" s="4" t="s">
        <v>235</v>
      </c>
      <c r="J11" s="4" t="s">
        <v>236</v>
      </c>
    </row>
  </sheetData>
  <mergeCells count="1">
    <mergeCell ref="A1:C1"/>
  </mergeCells>
  <dataValidations count="1">
    <dataValidation type="list" allowBlank="1" sqref="H4:H9" xr:uid="{00000000-0002-0000-0200-000000000000}">
      <formula1>"Si,No"</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zoomScaleNormal="100" workbookViewId="0">
      <pane xSplit="1" ySplit="3" topLeftCell="B4" activePane="bottomRight" state="frozen"/>
      <selection pane="topRight" activeCell="B1" sqref="B1"/>
      <selection pane="bottomLeft" activeCell="A4" sqref="A4"/>
      <selection pane="bottomRight" sqref="A1:B1"/>
    </sheetView>
  </sheetViews>
  <sheetFormatPr baseColWidth="10" defaultColWidth="8.6640625" defaultRowHeight="14.4" x14ac:dyDescent="0.3"/>
  <cols>
    <col min="1" max="1" width="40" customWidth="1"/>
    <col min="2" max="2" width="14" customWidth="1"/>
    <col min="3" max="3" width="11" customWidth="1"/>
    <col min="4" max="4" width="28" customWidth="1"/>
    <col min="5" max="5" width="9" customWidth="1"/>
    <col min="6" max="7" width="13" customWidth="1"/>
    <col min="8" max="8" width="34" customWidth="1"/>
    <col min="9" max="9" width="30" customWidth="1"/>
  </cols>
  <sheetData>
    <row r="1" spans="1:9" ht="21" customHeight="1" x14ac:dyDescent="0.4">
      <c r="A1" s="1" t="s">
        <v>237</v>
      </c>
      <c r="B1" s="1"/>
    </row>
    <row r="3" spans="1:9" ht="31.5" customHeight="1" x14ac:dyDescent="0.3">
      <c r="A3" s="3" t="s">
        <v>238</v>
      </c>
      <c r="B3" s="3" t="s">
        <v>239</v>
      </c>
      <c r="C3" s="3" t="s">
        <v>240</v>
      </c>
      <c r="D3" s="3" t="s">
        <v>241</v>
      </c>
      <c r="E3" s="3" t="s">
        <v>242</v>
      </c>
      <c r="F3" s="3" t="s">
        <v>243</v>
      </c>
      <c r="G3" s="3" t="s">
        <v>244</v>
      </c>
      <c r="H3" s="3" t="s">
        <v>107</v>
      </c>
      <c r="I3" s="3" t="s">
        <v>245</v>
      </c>
    </row>
    <row r="4" spans="1:9" ht="25.5" customHeight="1" x14ac:dyDescent="0.3">
      <c r="A4" s="4" t="s">
        <v>246</v>
      </c>
      <c r="B4" s="4" t="s">
        <v>35</v>
      </c>
      <c r="C4" s="8">
        <v>3</v>
      </c>
      <c r="D4" s="4" t="s">
        <v>247</v>
      </c>
      <c r="E4" s="8">
        <v>1</v>
      </c>
      <c r="F4" s="5" t="s">
        <v>23</v>
      </c>
      <c r="G4" s="8">
        <v>5</v>
      </c>
      <c r="H4" s="4" t="s">
        <v>248</v>
      </c>
      <c r="I4" s="4" t="s">
        <v>249</v>
      </c>
    </row>
    <row r="5" spans="1:9" ht="25.5" customHeight="1" x14ac:dyDescent="0.3">
      <c r="A5" s="4" t="s">
        <v>246</v>
      </c>
      <c r="B5" s="4" t="s">
        <v>35</v>
      </c>
      <c r="C5" s="8">
        <v>3</v>
      </c>
      <c r="D5" s="4" t="s">
        <v>247</v>
      </c>
      <c r="E5" s="8">
        <v>2</v>
      </c>
      <c r="F5" s="5" t="s">
        <v>23</v>
      </c>
      <c r="G5" s="8">
        <v>4.3</v>
      </c>
      <c r="H5" s="4" t="s">
        <v>248</v>
      </c>
      <c r="I5" s="4" t="s">
        <v>249</v>
      </c>
    </row>
    <row r="6" spans="1:9" ht="25.5" customHeight="1" x14ac:dyDescent="0.3">
      <c r="A6" s="4" t="s">
        <v>246</v>
      </c>
      <c r="B6" s="4" t="s">
        <v>35</v>
      </c>
      <c r="C6" s="8">
        <v>3</v>
      </c>
      <c r="D6" s="4" t="s">
        <v>247</v>
      </c>
      <c r="E6" s="8">
        <v>3</v>
      </c>
      <c r="F6" s="5" t="s">
        <v>23</v>
      </c>
      <c r="G6" s="8">
        <v>6.4</v>
      </c>
      <c r="H6" s="4" t="s">
        <v>248</v>
      </c>
      <c r="I6" s="4" t="s">
        <v>249</v>
      </c>
    </row>
    <row r="7" spans="1:9" ht="25.5" customHeight="1" x14ac:dyDescent="0.3">
      <c r="A7" s="4" t="s">
        <v>250</v>
      </c>
      <c r="B7" s="4" t="s">
        <v>44</v>
      </c>
      <c r="C7" s="8">
        <v>3</v>
      </c>
      <c r="D7" s="4" t="s">
        <v>247</v>
      </c>
      <c r="E7" s="8">
        <v>1</v>
      </c>
      <c r="F7" s="5" t="s">
        <v>23</v>
      </c>
      <c r="G7" s="8">
        <v>4.2</v>
      </c>
      <c r="H7" s="4" t="s">
        <v>248</v>
      </c>
      <c r="I7" s="4" t="s">
        <v>249</v>
      </c>
    </row>
    <row r="8" spans="1:9" ht="25.5" customHeight="1" x14ac:dyDescent="0.3">
      <c r="A8" s="4" t="s">
        <v>250</v>
      </c>
      <c r="B8" s="4" t="s">
        <v>44</v>
      </c>
      <c r="C8" s="8">
        <v>3</v>
      </c>
      <c r="D8" s="4" t="s">
        <v>247</v>
      </c>
      <c r="E8" s="8">
        <v>2</v>
      </c>
      <c r="F8" s="5" t="s">
        <v>23</v>
      </c>
      <c r="G8" s="8">
        <v>4.0999999999999996</v>
      </c>
      <c r="H8" s="4" t="s">
        <v>248</v>
      </c>
      <c r="I8" s="4" t="s">
        <v>249</v>
      </c>
    </row>
    <row r="9" spans="1:9" ht="25.5" customHeight="1" x14ac:dyDescent="0.3">
      <c r="A9" s="4" t="s">
        <v>250</v>
      </c>
      <c r="B9" s="4" t="s">
        <v>44</v>
      </c>
      <c r="C9" s="8">
        <v>3</v>
      </c>
      <c r="D9" s="4" t="s">
        <v>247</v>
      </c>
      <c r="E9" s="8">
        <v>3</v>
      </c>
      <c r="F9" s="5" t="s">
        <v>23</v>
      </c>
      <c r="G9" s="8">
        <v>5.9</v>
      </c>
      <c r="H9" s="4" t="s">
        <v>248</v>
      </c>
      <c r="I9" s="4" t="s">
        <v>249</v>
      </c>
    </row>
    <row r="10" spans="1:9" ht="25.5" customHeight="1" x14ac:dyDescent="0.3">
      <c r="A10" s="4" t="s">
        <v>251</v>
      </c>
      <c r="B10" s="4" t="s">
        <v>69</v>
      </c>
      <c r="C10" s="8">
        <v>3</v>
      </c>
      <c r="D10" s="4" t="s">
        <v>247</v>
      </c>
      <c r="E10" s="8">
        <v>1</v>
      </c>
      <c r="F10" s="5" t="s">
        <v>23</v>
      </c>
      <c r="G10" s="8">
        <v>5.9</v>
      </c>
      <c r="H10" s="4" t="s">
        <v>248</v>
      </c>
      <c r="I10" s="4" t="s">
        <v>249</v>
      </c>
    </row>
    <row r="11" spans="1:9" ht="25.5" customHeight="1" x14ac:dyDescent="0.3">
      <c r="A11" s="4" t="s">
        <v>251</v>
      </c>
      <c r="B11" s="4" t="s">
        <v>69</v>
      </c>
      <c r="C11" s="8">
        <v>3</v>
      </c>
      <c r="D11" s="4" t="s">
        <v>247</v>
      </c>
      <c r="E11" s="8">
        <v>2</v>
      </c>
      <c r="F11" s="5" t="s">
        <v>23</v>
      </c>
      <c r="G11" s="8">
        <v>6.1</v>
      </c>
      <c r="H11" s="4" t="s">
        <v>248</v>
      </c>
      <c r="I11" s="4" t="s">
        <v>249</v>
      </c>
    </row>
    <row r="12" spans="1:9" ht="25.5" customHeight="1" x14ac:dyDescent="0.3">
      <c r="A12" s="4" t="s">
        <v>251</v>
      </c>
      <c r="B12" s="4" t="s">
        <v>69</v>
      </c>
      <c r="C12" s="8">
        <v>3</v>
      </c>
      <c r="D12" s="4" t="s">
        <v>247</v>
      </c>
      <c r="E12" s="8">
        <v>3</v>
      </c>
      <c r="F12" s="5" t="s">
        <v>23</v>
      </c>
      <c r="G12" s="8">
        <v>6.7</v>
      </c>
      <c r="H12" s="4" t="s">
        <v>248</v>
      </c>
      <c r="I12" s="4" t="s">
        <v>249</v>
      </c>
    </row>
    <row r="13" spans="1:9" ht="25.5" customHeight="1" x14ac:dyDescent="0.3">
      <c r="A13" s="4" t="s">
        <v>252</v>
      </c>
      <c r="B13" s="4" t="s">
        <v>69</v>
      </c>
      <c r="C13" s="8">
        <v>3</v>
      </c>
      <c r="D13" s="4" t="s">
        <v>247</v>
      </c>
      <c r="E13" s="8">
        <v>1</v>
      </c>
      <c r="F13" s="5" t="s">
        <v>23</v>
      </c>
      <c r="G13" s="8">
        <v>5.6</v>
      </c>
      <c r="H13" s="4" t="s">
        <v>248</v>
      </c>
      <c r="I13" s="4" t="s">
        <v>249</v>
      </c>
    </row>
    <row r="14" spans="1:9" ht="25.5" customHeight="1" x14ac:dyDescent="0.3">
      <c r="A14" s="4" t="s">
        <v>252</v>
      </c>
      <c r="B14" s="4" t="s">
        <v>69</v>
      </c>
      <c r="C14" s="8">
        <v>3</v>
      </c>
      <c r="D14" s="4" t="s">
        <v>247</v>
      </c>
      <c r="E14" s="8">
        <v>2</v>
      </c>
      <c r="F14" s="5" t="s">
        <v>23</v>
      </c>
      <c r="G14" s="8">
        <v>5.9</v>
      </c>
      <c r="H14" s="4" t="s">
        <v>248</v>
      </c>
      <c r="I14" s="4" t="s">
        <v>249</v>
      </c>
    </row>
    <row r="15" spans="1:9" ht="25.5" customHeight="1" x14ac:dyDescent="0.3">
      <c r="A15" s="4" t="s">
        <v>252</v>
      </c>
      <c r="B15" s="4" t="s">
        <v>69</v>
      </c>
      <c r="C15" s="8">
        <v>3</v>
      </c>
      <c r="D15" s="4" t="s">
        <v>247</v>
      </c>
      <c r="E15" s="8">
        <v>3</v>
      </c>
      <c r="F15" s="5" t="s">
        <v>23</v>
      </c>
      <c r="G15" s="8">
        <v>5.6</v>
      </c>
      <c r="H15" s="4" t="s">
        <v>248</v>
      </c>
      <c r="I15" s="4" t="s">
        <v>249</v>
      </c>
    </row>
    <row r="16" spans="1:9" ht="25.5" customHeight="1" x14ac:dyDescent="0.3">
      <c r="A16" s="4" t="s">
        <v>246</v>
      </c>
      <c r="B16" s="4" t="s">
        <v>35</v>
      </c>
      <c r="C16" s="8">
        <v>3</v>
      </c>
      <c r="D16" s="4" t="s">
        <v>253</v>
      </c>
      <c r="E16" s="8">
        <v>1</v>
      </c>
      <c r="F16" s="5" t="s">
        <v>23</v>
      </c>
      <c r="G16" s="8">
        <v>6.1</v>
      </c>
      <c r="H16" s="4" t="s">
        <v>248</v>
      </c>
      <c r="I16" s="4" t="s">
        <v>249</v>
      </c>
    </row>
    <row r="17" spans="1:9" ht="25.5" customHeight="1" x14ac:dyDescent="0.3">
      <c r="A17" s="4" t="s">
        <v>246</v>
      </c>
      <c r="B17" s="4" t="s">
        <v>35</v>
      </c>
      <c r="C17" s="8">
        <v>3</v>
      </c>
      <c r="D17" s="4" t="s">
        <v>253</v>
      </c>
      <c r="E17" s="8">
        <v>2</v>
      </c>
      <c r="F17" s="5" t="s">
        <v>23</v>
      </c>
      <c r="G17" s="8">
        <v>4.7</v>
      </c>
      <c r="H17" s="4" t="s">
        <v>248</v>
      </c>
      <c r="I17" s="4" t="s">
        <v>249</v>
      </c>
    </row>
    <row r="18" spans="1:9" ht="25.5" customHeight="1" x14ac:dyDescent="0.3">
      <c r="A18" s="4" t="s">
        <v>246</v>
      </c>
      <c r="B18" s="4" t="s">
        <v>35</v>
      </c>
      <c r="C18" s="8">
        <v>3</v>
      </c>
      <c r="D18" s="4" t="s">
        <v>253</v>
      </c>
      <c r="E18" s="8">
        <v>3</v>
      </c>
      <c r="F18" s="5" t="s">
        <v>23</v>
      </c>
      <c r="G18" s="8">
        <v>5.4</v>
      </c>
      <c r="H18" s="4" t="s">
        <v>248</v>
      </c>
      <c r="I18" s="4" t="s">
        <v>249</v>
      </c>
    </row>
    <row r="19" spans="1:9" ht="25.5" customHeight="1" x14ac:dyDescent="0.3">
      <c r="A19" s="4" t="s">
        <v>250</v>
      </c>
      <c r="B19" s="4" t="s">
        <v>44</v>
      </c>
      <c r="C19" s="8">
        <v>3</v>
      </c>
      <c r="D19" s="4" t="s">
        <v>253</v>
      </c>
      <c r="E19" s="8">
        <v>1</v>
      </c>
      <c r="F19" s="5" t="s">
        <v>23</v>
      </c>
      <c r="G19" s="8">
        <v>4.3</v>
      </c>
      <c r="H19" s="4" t="s">
        <v>248</v>
      </c>
      <c r="I19" s="4" t="s">
        <v>249</v>
      </c>
    </row>
    <row r="20" spans="1:9" ht="25.5" customHeight="1" x14ac:dyDescent="0.3">
      <c r="A20" s="4" t="s">
        <v>250</v>
      </c>
      <c r="B20" s="4" t="s">
        <v>44</v>
      </c>
      <c r="C20" s="8">
        <v>3</v>
      </c>
      <c r="D20" s="4" t="s">
        <v>253</v>
      </c>
      <c r="E20" s="8">
        <v>2</v>
      </c>
      <c r="F20" s="5" t="s">
        <v>23</v>
      </c>
      <c r="G20" s="8">
        <v>7.7</v>
      </c>
      <c r="H20" s="4" t="s">
        <v>248</v>
      </c>
      <c r="I20" s="4" t="s">
        <v>249</v>
      </c>
    </row>
    <row r="21" spans="1:9" ht="25.5" customHeight="1" x14ac:dyDescent="0.3">
      <c r="A21" s="4" t="s">
        <v>250</v>
      </c>
      <c r="B21" s="4" t="s">
        <v>44</v>
      </c>
      <c r="C21" s="8">
        <v>3</v>
      </c>
      <c r="D21" s="4" t="s">
        <v>253</v>
      </c>
      <c r="E21" s="8">
        <v>3</v>
      </c>
      <c r="F21" s="5" t="s">
        <v>23</v>
      </c>
      <c r="G21" s="8">
        <v>4.2</v>
      </c>
      <c r="H21" s="4" t="s">
        <v>248</v>
      </c>
      <c r="I21" s="4" t="s">
        <v>249</v>
      </c>
    </row>
    <row r="22" spans="1:9" ht="25.5" customHeight="1" x14ac:dyDescent="0.3">
      <c r="A22" s="4" t="s">
        <v>251</v>
      </c>
      <c r="B22" s="4" t="s">
        <v>69</v>
      </c>
      <c r="C22" s="8">
        <v>3</v>
      </c>
      <c r="D22" s="4" t="s">
        <v>253</v>
      </c>
      <c r="E22" s="8">
        <v>1</v>
      </c>
      <c r="F22" s="5" t="s">
        <v>23</v>
      </c>
      <c r="G22" s="8">
        <v>8.5</v>
      </c>
      <c r="H22" s="4" t="s">
        <v>248</v>
      </c>
      <c r="I22" s="4" t="s">
        <v>249</v>
      </c>
    </row>
    <row r="23" spans="1:9" ht="25.5" customHeight="1" x14ac:dyDescent="0.3">
      <c r="A23" s="4" t="s">
        <v>251</v>
      </c>
      <c r="B23" s="4" t="s">
        <v>69</v>
      </c>
      <c r="C23" s="8">
        <v>3</v>
      </c>
      <c r="D23" s="4" t="s">
        <v>253</v>
      </c>
      <c r="E23" s="8">
        <v>2</v>
      </c>
      <c r="F23" s="5" t="s">
        <v>23</v>
      </c>
      <c r="G23" s="8">
        <v>9</v>
      </c>
      <c r="H23" s="4" t="s">
        <v>248</v>
      </c>
      <c r="I23" s="4" t="s">
        <v>249</v>
      </c>
    </row>
    <row r="24" spans="1:9" ht="25.5" customHeight="1" x14ac:dyDescent="0.3">
      <c r="A24" s="4" t="s">
        <v>251</v>
      </c>
      <c r="B24" s="4" t="s">
        <v>69</v>
      </c>
      <c r="C24" s="8">
        <v>3</v>
      </c>
      <c r="D24" s="4" t="s">
        <v>253</v>
      </c>
      <c r="E24" s="8">
        <v>3</v>
      </c>
      <c r="F24" s="5" t="s">
        <v>23</v>
      </c>
      <c r="G24" s="8">
        <v>7.8</v>
      </c>
      <c r="H24" s="4" t="s">
        <v>248</v>
      </c>
      <c r="I24" s="4" t="s">
        <v>249</v>
      </c>
    </row>
    <row r="25" spans="1:9" ht="25.5" customHeight="1" x14ac:dyDescent="0.3">
      <c r="A25" s="4" t="s">
        <v>252</v>
      </c>
      <c r="B25" s="4" t="s">
        <v>69</v>
      </c>
      <c r="C25" s="8">
        <v>3</v>
      </c>
      <c r="D25" s="4" t="s">
        <v>253</v>
      </c>
      <c r="E25" s="8">
        <v>1</v>
      </c>
      <c r="F25" s="5" t="s">
        <v>23</v>
      </c>
      <c r="G25" s="8">
        <v>8.6</v>
      </c>
      <c r="H25" s="4" t="s">
        <v>248</v>
      </c>
      <c r="I25" s="4" t="s">
        <v>249</v>
      </c>
    </row>
    <row r="26" spans="1:9" ht="25.5" customHeight="1" x14ac:dyDescent="0.3">
      <c r="A26" s="4" t="s">
        <v>252</v>
      </c>
      <c r="B26" s="4" t="s">
        <v>69</v>
      </c>
      <c r="C26" s="8">
        <v>3</v>
      </c>
      <c r="D26" s="4" t="s">
        <v>253</v>
      </c>
      <c r="E26" s="8">
        <v>2</v>
      </c>
      <c r="F26" s="5" t="s">
        <v>23</v>
      </c>
      <c r="G26" s="8">
        <v>7.7</v>
      </c>
      <c r="H26" s="4" t="s">
        <v>248</v>
      </c>
      <c r="I26" s="4" t="s">
        <v>249</v>
      </c>
    </row>
    <row r="27" spans="1:9" ht="25.5" customHeight="1" x14ac:dyDescent="0.3">
      <c r="A27" s="4" t="s">
        <v>252</v>
      </c>
      <c r="B27" s="4" t="s">
        <v>69</v>
      </c>
      <c r="C27" s="8">
        <v>3</v>
      </c>
      <c r="D27" s="4" t="s">
        <v>253</v>
      </c>
      <c r="E27" s="8">
        <v>3</v>
      </c>
      <c r="F27" s="5" t="s">
        <v>23</v>
      </c>
      <c r="G27" s="8">
        <v>7.4</v>
      </c>
      <c r="H27" s="4" t="s">
        <v>248</v>
      </c>
      <c r="I27" s="4" t="s">
        <v>249</v>
      </c>
    </row>
    <row r="29" spans="1:9" ht="40.799999999999997" x14ac:dyDescent="0.3">
      <c r="A29" s="13" t="s">
        <v>254</v>
      </c>
    </row>
  </sheetData>
  <mergeCells count="1">
    <mergeCell ref="A1:B1"/>
  </mergeCells>
  <dataValidations count="1">
    <dataValidation type="list" allowBlank="1" sqref="F4:F27" xr:uid="{00000000-0002-0000-0300-000000000000}">
      <formula1>"Aprobado,Fallido"</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9"/>
  <sheetViews>
    <sheetView tabSelected="1" zoomScaleNormal="100" workbookViewId="0">
      <selection activeCell="A26" sqref="A26"/>
    </sheetView>
  </sheetViews>
  <sheetFormatPr baseColWidth="10" defaultColWidth="8.6640625" defaultRowHeight="14.4" x14ac:dyDescent="0.3"/>
  <cols>
    <col min="1" max="1" width="40.77734375" customWidth="1"/>
    <col min="2" max="2" width="78" customWidth="1"/>
    <col min="3" max="3" width="42" customWidth="1"/>
  </cols>
  <sheetData>
    <row r="1" spans="1:3" ht="21" customHeight="1" x14ac:dyDescent="0.4">
      <c r="A1" s="14" t="s">
        <v>255</v>
      </c>
    </row>
    <row r="2" spans="1:3" ht="14.25" customHeight="1" x14ac:dyDescent="0.3">
      <c r="A2" s="12"/>
    </row>
    <row r="4" spans="1:3" ht="14.25" customHeight="1" x14ac:dyDescent="0.3">
      <c r="A4" s="15" t="s">
        <v>256</v>
      </c>
      <c r="B4" s="16"/>
      <c r="C4" s="16"/>
    </row>
    <row r="5" spans="1:3" ht="14.25" customHeight="1" x14ac:dyDescent="0.3">
      <c r="A5" s="17" t="s">
        <v>257</v>
      </c>
      <c r="B5" s="4">
        <f>COUNTA('Casos de Prueba'!A4:A13)</f>
        <v>10</v>
      </c>
      <c r="C5" s="18"/>
    </row>
    <row r="6" spans="1:3" ht="14.25" customHeight="1" x14ac:dyDescent="0.3">
      <c r="A6" s="17" t="s">
        <v>258</v>
      </c>
      <c r="B6" s="4">
        <f>COUNTIF('Casos de Prueba'!K4:K13,"Aprobado")+COUNTIF('Casos de Prueba'!K4:K13,"Fallido")</f>
        <v>10</v>
      </c>
      <c r="C6" s="18"/>
    </row>
    <row r="7" spans="1:3" ht="14.25" customHeight="1" x14ac:dyDescent="0.3">
      <c r="A7" s="17" t="s">
        <v>259</v>
      </c>
      <c r="B7" s="4">
        <f>COUNTIF('Casos de Prueba'!K4:K13,"Aprobado")</f>
        <v>5</v>
      </c>
      <c r="C7" s="18"/>
    </row>
    <row r="8" spans="1:3" ht="14.25" customHeight="1" x14ac:dyDescent="0.3">
      <c r="A8" s="17" t="s">
        <v>260</v>
      </c>
      <c r="B8" s="4">
        <f>COUNTIF('Casos de Prueba'!K4:K13,"Fallido")</f>
        <v>5</v>
      </c>
      <c r="C8" s="18"/>
    </row>
    <row r="9" spans="1:3" ht="14.25" customHeight="1" x14ac:dyDescent="0.3">
      <c r="A9" s="17" t="s">
        <v>261</v>
      </c>
      <c r="B9" s="19">
        <f>IFERROR(B7/B6,0)</f>
        <v>0.5</v>
      </c>
      <c r="C9" s="18" t="s">
        <v>262</v>
      </c>
    </row>
    <row r="10" spans="1:3" ht="14.25" customHeight="1" x14ac:dyDescent="0.3">
      <c r="A10" s="17" t="s">
        <v>263</v>
      </c>
      <c r="B10" s="4">
        <f>COUNTIF('Casos de Prueba'!D4:D13,"Si")</f>
        <v>6</v>
      </c>
      <c r="C10" s="18" t="s">
        <v>264</v>
      </c>
    </row>
    <row r="11" spans="1:3" ht="14.25" customHeight="1" x14ac:dyDescent="0.3">
      <c r="A11" s="17" t="s">
        <v>265</v>
      </c>
      <c r="B11" s="4">
        <f>COUNTIF('Casos de Prueba'!C4:C13,"Negativo")+COUNTIF('Casos de Prueba'!C4:C13,"Borde")</f>
        <v>6</v>
      </c>
      <c r="C11" s="18" t="s">
        <v>264</v>
      </c>
    </row>
    <row r="12" spans="1:3" ht="14.25" customHeight="1" x14ac:dyDescent="0.3">
      <c r="A12" s="7"/>
      <c r="B12" s="7"/>
      <c r="C12" s="7"/>
    </row>
    <row r="13" spans="1:3" ht="14.25" customHeight="1" x14ac:dyDescent="0.3">
      <c r="A13" s="15" t="s">
        <v>266</v>
      </c>
      <c r="B13" s="16"/>
      <c r="C13" s="16"/>
    </row>
    <row r="14" spans="1:3" ht="14.25" customHeight="1" x14ac:dyDescent="0.3">
      <c r="A14" s="17" t="s">
        <v>267</v>
      </c>
      <c r="B14" s="4">
        <f>COUNTIF('Bug Reports'!B4:B10,"?*")</f>
        <v>7</v>
      </c>
      <c r="C14" s="18" t="s">
        <v>268</v>
      </c>
    </row>
    <row r="15" spans="1:3" ht="14.25" customHeight="1" x14ac:dyDescent="0.3">
      <c r="A15" s="17" t="s">
        <v>269</v>
      </c>
      <c r="B15" s="4">
        <f>COUNTIF('Bug Reports'!I4:I10,"Critica")+COUNTIF('Bug Reports'!I4:I10,"Alta")</f>
        <v>4</v>
      </c>
      <c r="C15" s="18"/>
    </row>
    <row r="16" spans="1:3" ht="14.25" customHeight="1" x14ac:dyDescent="0.3">
      <c r="A16" s="17" t="s">
        <v>270</v>
      </c>
      <c r="B16" s="20">
        <f>IFERROR(B14/B6,0)</f>
        <v>0.7</v>
      </c>
      <c r="C16" s="18" t="s">
        <v>271</v>
      </c>
    </row>
    <row r="17" spans="1:3" ht="14.25" customHeight="1" x14ac:dyDescent="0.3">
      <c r="A17" s="7"/>
      <c r="B17" s="7"/>
      <c r="C17" s="7"/>
    </row>
    <row r="18" spans="1:3" ht="14.25" customHeight="1" x14ac:dyDescent="0.3">
      <c r="A18" s="15" t="s">
        <v>272</v>
      </c>
      <c r="B18" s="16"/>
      <c r="C18" s="16"/>
    </row>
    <row r="19" spans="1:3" ht="14.25" customHeight="1" x14ac:dyDescent="0.3">
      <c r="A19" s="17" t="s">
        <v>273</v>
      </c>
      <c r="B19" s="4">
        <f>COUNTIF(Exploratorio!E4:E11,"?*")</f>
        <v>8</v>
      </c>
      <c r="C19" s="18" t="s">
        <v>274</v>
      </c>
    </row>
    <row r="20" spans="1:3" ht="14.25" customHeight="1" x14ac:dyDescent="0.3">
      <c r="A20" s="17" t="s">
        <v>275</v>
      </c>
      <c r="B20" s="4">
        <f>COUNTIF(Exploratorio!H4:H11,"Si")</f>
        <v>4</v>
      </c>
      <c r="C20" s="18" t="s">
        <v>276</v>
      </c>
    </row>
    <row r="21" spans="1:3" ht="14.25" customHeight="1" x14ac:dyDescent="0.3">
      <c r="A21" s="7"/>
      <c r="B21" s="7"/>
      <c r="C21" s="7"/>
    </row>
    <row r="22" spans="1:3" ht="14.25" customHeight="1" x14ac:dyDescent="0.3">
      <c r="A22" s="15" t="s">
        <v>277</v>
      </c>
      <c r="B22" s="16"/>
      <c r="C22" s="16"/>
    </row>
    <row r="23" spans="1:3" ht="14.25" customHeight="1" x14ac:dyDescent="0.3">
      <c r="A23" s="17" t="s">
        <v>278</v>
      </c>
      <c r="B23" s="4">
        <f>COUNTIF('Ejecuciones Auto'!F4:F27,"Aprobado")+COUNTIF('Ejecuciones Auto'!F4:F27,"Fallido")</f>
        <v>24</v>
      </c>
      <c r="C23" s="18"/>
    </row>
    <row r="24" spans="1:3" ht="14.25" customHeight="1" x14ac:dyDescent="0.3">
      <c r="A24" s="17" t="s">
        <v>279</v>
      </c>
      <c r="B24" s="4">
        <f>COUNTIF('Ejecuciones Auto'!F4:F27,"Aprobado")</f>
        <v>24</v>
      </c>
      <c r="C24" s="18"/>
    </row>
    <row r="25" spans="1:3" ht="14.25" customHeight="1" x14ac:dyDescent="0.3">
      <c r="A25" s="17" t="s">
        <v>280</v>
      </c>
      <c r="B25" s="19">
        <f>IFERROR(B24/B23,0)</f>
        <v>1</v>
      </c>
      <c r="C25" s="18" t="s">
        <v>281</v>
      </c>
    </row>
    <row r="26" spans="1:3" ht="14.25" customHeight="1" x14ac:dyDescent="0.3">
      <c r="A26" s="17" t="s">
        <v>282</v>
      </c>
      <c r="B26" s="21">
        <f>IFERROR(AVERAGE('Ejecuciones Auto'!G4:G27),0)</f>
        <v>6.1291666666666664</v>
      </c>
      <c r="C26" s="18" t="s">
        <v>283</v>
      </c>
    </row>
    <row r="27" spans="1:3" ht="14.25" customHeight="1" x14ac:dyDescent="0.3">
      <c r="A27" s="17" t="s">
        <v>284</v>
      </c>
      <c r="B27" s="4">
        <f>SUM('Ejecuciones Auto'!C4:C27)</f>
        <v>72</v>
      </c>
      <c r="C27" s="18"/>
    </row>
    <row r="28" spans="1:3" ht="14.25" customHeight="1" x14ac:dyDescent="0.3">
      <c r="A28" s="7"/>
      <c r="B28" s="7"/>
      <c r="C28" s="7"/>
    </row>
    <row r="29" spans="1:3" ht="27" customHeight="1" x14ac:dyDescent="0.3">
      <c r="A29" s="15" t="s">
        <v>285</v>
      </c>
      <c r="B29" s="16"/>
      <c r="C29" s="16"/>
    </row>
    <row r="30" spans="1:3" ht="45.75" customHeight="1" x14ac:dyDescent="0.3">
      <c r="A30" s="17" t="s">
        <v>286</v>
      </c>
      <c r="B30" s="22" t="s">
        <v>287</v>
      </c>
      <c r="C30" s="23"/>
    </row>
    <row r="31" spans="1:3" ht="45.75" customHeight="1" x14ac:dyDescent="0.3">
      <c r="A31" s="17" t="s">
        <v>288</v>
      </c>
      <c r="B31" s="22" t="s">
        <v>289</v>
      </c>
      <c r="C31" s="23"/>
    </row>
    <row r="32" spans="1:3" ht="45.75" customHeight="1" x14ac:dyDescent="0.3">
      <c r="A32" s="17" t="s">
        <v>290</v>
      </c>
      <c r="B32" s="22" t="s">
        <v>291</v>
      </c>
      <c r="C32" s="23"/>
    </row>
    <row r="33" spans="1:3" ht="45.75" customHeight="1" x14ac:dyDescent="0.3">
      <c r="A33" s="17" t="s">
        <v>292</v>
      </c>
      <c r="B33" s="24" t="s">
        <v>293</v>
      </c>
      <c r="C33" s="23"/>
    </row>
    <row r="34" spans="1:3" ht="45.75" customHeight="1" x14ac:dyDescent="0.3">
      <c r="A34" s="17" t="s">
        <v>294</v>
      </c>
      <c r="B34" s="24" t="s">
        <v>295</v>
      </c>
      <c r="C34" s="23"/>
    </row>
    <row r="35" spans="1:3" ht="45.75" customHeight="1" x14ac:dyDescent="0.3">
      <c r="A35" s="17" t="s">
        <v>296</v>
      </c>
      <c r="B35" s="22" t="s">
        <v>297</v>
      </c>
      <c r="C35" s="23"/>
    </row>
    <row r="36" spans="1:3" ht="45.75" customHeight="1" x14ac:dyDescent="0.3">
      <c r="A36" s="17" t="s">
        <v>298</v>
      </c>
      <c r="B36" s="22" t="s">
        <v>299</v>
      </c>
      <c r="C36" s="23"/>
    </row>
    <row r="37" spans="1:3" ht="14.25" customHeight="1" x14ac:dyDescent="0.3">
      <c r="A37" s="17" t="s">
        <v>300</v>
      </c>
      <c r="B37" s="22" t="s">
        <v>301</v>
      </c>
      <c r="C37" s="23"/>
    </row>
    <row r="38" spans="1:3" ht="79.5" customHeight="1" x14ac:dyDescent="0.3">
      <c r="A38" s="17" t="s">
        <v>302</v>
      </c>
      <c r="B38" s="22" t="s">
        <v>303</v>
      </c>
      <c r="C38" s="23"/>
    </row>
    <row r="39" spans="1:3" x14ac:dyDescent="0.3">
      <c r="A39" s="7"/>
      <c r="B39" s="7"/>
      <c r="C39" s="7"/>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Casos de Prueba</vt:lpstr>
      <vt:lpstr>Bug Reports</vt:lpstr>
      <vt:lpstr>Exploratorio</vt:lpstr>
      <vt:lpstr>Ejecuciones Auto</vt:lpstr>
      <vt:lpstr>Metricas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CAMILO ANDRÉS MERIÑO ARAYA</cp:lastModifiedBy>
  <cp:revision>0</cp:revision>
  <dcterms:created xsi:type="dcterms:W3CDTF">2026-09-06T22:04:14Z</dcterms:created>
  <dcterms:modified xsi:type="dcterms:W3CDTF">2026-09-07T01:37:53Z</dcterms:modified>
  <dc:language>en-US</dc:language>
</cp:coreProperties>
</file>